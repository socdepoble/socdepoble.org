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gudes - La Parròquia" sheetId="1" r:id="rId4"/>
    <sheet state="visible" name="Menjars - La Parròquia" sheetId="2" r:id="rId5"/>
    <sheet state="visible" name="Postres i Gelats - La Parròquia" sheetId="3" r:id="rId6"/>
    <sheet state="visible" name="Diccionari - Parròquia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tc={242f657b-63b2-4325-9c57-642c8a607f4d}</author>
    <author>tc={30876912-68ae-46b2-8398-9468b682af52}</author>
    <author>tc={aa8134a3-2b58-4381-90c9-7dcd53201f94}</author>
    <author>tc={e30a4e05-622f-43c8-81c5-4926e1a3edc9}</author>
  </authors>
  <commentList>
    <comment authorId="0" xr:uid="{242f657b-63b2-4325-9c57-642c8a607f4d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Calculadora de Packs.
</t>
      </text>
    </comment>
    <comment authorId="1" xr:uid="{30876912-68ae-46b2-8398-9468b682af52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Preu sense IVA. Per Unitat.
</t>
      </text>
    </comment>
    <comment authorId="2" xr:uid="{aa8134a3-2b58-4381-90c9-7dcd53201f94}" ref="G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Hi que posar una quantitat, mínim 1.
</t>
      </text>
    </comment>
    <comment authorId="3" xr:uid="{e30a4e05-622f-43c8-81c5-4926e1a3edc9}" ref="J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Unitats per pack. Mínim, 1
</t>
      </text>
    </comment>
  </commentList>
</comments>
</file>

<file path=xl/sharedStrings.xml><?xml version="1.0" encoding="utf-8"?>
<sst xmlns="http://schemas.openxmlformats.org/spreadsheetml/2006/main" count="1597" uniqueCount="506">
  <si>
    <t>LLISTAT DE BEGUDES</t>
  </si>
  <si>
    <t>PACKS:</t>
  </si>
  <si>
    <t>Quant.</t>
  </si>
  <si>
    <t>P. COST</t>
  </si>
  <si>
    <t>BASE IMP.</t>
  </si>
  <si>
    <t>U. PACK</t>
  </si>
  <si>
    <t>P. PACK</t>
  </si>
  <si>
    <t>I.V.A.</t>
  </si>
  <si>
    <t>EQUIV.</t>
  </si>
  <si>
    <t>CALC. BASE IMPOSABLE</t>
  </si>
  <si>
    <t>P.V.P.</t>
  </si>
  <si>
    <t>- LA PARRÒQUIA -</t>
  </si>
  <si>
    <t>cl</t>
  </si>
  <si>
    <t>MARGE</t>
  </si>
  <si>
    <t>PREU DE</t>
  </si>
  <si>
    <t>BASE</t>
  </si>
  <si>
    <t>U. per</t>
  </si>
  <si>
    <t>PREU</t>
  </si>
  <si>
    <t>REC.</t>
  </si>
  <si>
    <t>PROVEÏDOR</t>
  </si>
  <si>
    <t>COMENTARIS</t>
  </si>
  <si>
    <t>CAT.</t>
  </si>
  <si>
    <t>TIPUS</t>
  </si>
  <si>
    <t>MARCA O PRODUCTE</t>
  </si>
  <si>
    <t>%</t>
  </si>
  <si>
    <t>GUANY</t>
  </si>
  <si>
    <t>COST</t>
  </si>
  <si>
    <t>IMPON.</t>
  </si>
  <si>
    <t>PACK</t>
  </si>
  <si>
    <t>B1☕️</t>
  </si>
  <si>
    <t>Cafeteria</t>
  </si>
  <si>
    <t>Bombó</t>
  </si>
  <si>
    <t>Cafè amb llet</t>
  </si>
  <si>
    <t>Cafè americà</t>
  </si>
  <si>
    <t>Cafè Cappuccino</t>
  </si>
  <si>
    <t>Cafè sol</t>
  </si>
  <si>
    <t>Cafè tallat</t>
  </si>
  <si>
    <t>Carajillo cremat</t>
  </si>
  <si>
    <t>Carajillo d'anís, conyac o ron</t>
  </si>
  <si>
    <t>Carajillo de Bayleys o whisky</t>
  </si>
  <si>
    <t>Cola Cao. Got gran.</t>
  </si>
  <si>
    <t>Cola Cao. Got xicotet</t>
  </si>
  <si>
    <t>Infusió</t>
  </si>
  <si>
    <t>Infusió "tocaeta"</t>
  </si>
  <si>
    <t>Llet. Got gran</t>
  </si>
  <si>
    <t>Llet. Got xicotet</t>
  </si>
  <si>
    <t>B2🥤</t>
  </si>
  <si>
    <t>Aigua</t>
  </si>
  <si>
    <t>Agua (Genèric). Litre i mig</t>
  </si>
  <si>
    <t>Agua (Genèric). 33cl</t>
  </si>
  <si>
    <t xml:space="preserve">Aigua amb gas </t>
  </si>
  <si>
    <t>Sant Narcís</t>
  </si>
  <si>
    <t>Miquels "Lecheros"</t>
  </si>
  <si>
    <t>Vichy</t>
  </si>
  <si>
    <t>Refresc</t>
  </si>
  <si>
    <t>Aquarius Llima</t>
  </si>
  <si>
    <t>Aquarius Llima (Pot)</t>
  </si>
  <si>
    <t>Aquarius Taronja</t>
  </si>
  <si>
    <t>Aquarius Taronja (Pot)</t>
  </si>
  <si>
    <t>Bitter Kas</t>
  </si>
  <si>
    <t>Cacaolat</t>
  </si>
  <si>
    <t>Coca-Cola 237</t>
  </si>
  <si>
    <t>Coca-Cola 350</t>
  </si>
  <si>
    <t>Ca Llesca</t>
  </si>
  <si>
    <t>Coca-Cola Pot</t>
  </si>
  <si>
    <t>Coca-Cola VR</t>
  </si>
  <si>
    <t>Posar al TPV????????</t>
  </si>
  <si>
    <t>Coca-Cola Zero (Pot)</t>
  </si>
  <si>
    <t>Fanta Llima 237</t>
  </si>
  <si>
    <t>Fanta Llima (Pot)</t>
  </si>
  <si>
    <t>Fanta Taronja (Pot)</t>
  </si>
  <si>
    <t>Gasosa</t>
  </si>
  <si>
    <t>Gasosa (Genèric)</t>
  </si>
  <si>
    <t>Gasosa La Casera Pet</t>
  </si>
  <si>
    <t>Nestea Llima</t>
  </si>
  <si>
    <t>Nestea Llima (Pot)</t>
  </si>
  <si>
    <t>Red Bull</t>
  </si>
  <si>
    <t>SevenUp</t>
  </si>
  <si>
    <t>Suc de Pinya</t>
  </si>
  <si>
    <t>Suc de Prèssec</t>
  </si>
  <si>
    <t>Suc de Taronja</t>
  </si>
  <si>
    <t>Tònica Schweppes</t>
  </si>
  <si>
    <t>Tònica Schweppes (Pot)</t>
  </si>
  <si>
    <t>B3🍺</t>
  </si>
  <si>
    <t>Cervesa barril</t>
  </si>
  <si>
    <t>Estrella Damm</t>
  </si>
  <si>
    <t>Jacarilla</t>
  </si>
  <si>
    <t>Penalti</t>
  </si>
  <si>
    <t>Quint</t>
  </si>
  <si>
    <t>Terç</t>
  </si>
  <si>
    <t>Tanc</t>
  </si>
  <si>
    <t>Litre</t>
  </si>
  <si>
    <t>Gerra</t>
  </si>
  <si>
    <t>Turia Märzen</t>
  </si>
  <si>
    <t>Cervesa</t>
  </si>
  <si>
    <t>Alhambra</t>
  </si>
  <si>
    <t>Amstel Radler Llima</t>
  </si>
  <si>
    <t>Cervesa de pot (Genèric)</t>
  </si>
  <si>
    <t>Damm Lemon</t>
  </si>
  <si>
    <t>Daura Damm. Sense gluten</t>
  </si>
  <si>
    <t>Estrella Damm 1/5</t>
  </si>
  <si>
    <t>Estrella Damm 1/3</t>
  </si>
  <si>
    <t>Estrella Damm. 1 Litre</t>
  </si>
  <si>
    <t>Suposició de Javi</t>
  </si>
  <si>
    <t>Estrella Galicia</t>
  </si>
  <si>
    <t>Cervesa 0,0</t>
  </si>
  <si>
    <t>Free Damm 0,0</t>
  </si>
  <si>
    <t>Heineken 0,0</t>
  </si>
  <si>
    <t>Heineken Long Neck</t>
  </si>
  <si>
    <t>Mahou 1/5</t>
  </si>
  <si>
    <t>Mahou 1/3</t>
  </si>
  <si>
    <t>Mahou 0,0</t>
  </si>
  <si>
    <t>Mahou SIN</t>
  </si>
  <si>
    <t>Sidra</t>
  </si>
  <si>
    <t>Sidra Ladrón de Manzanas</t>
  </si>
  <si>
    <t>Turia</t>
  </si>
  <si>
    <t>Voll-Damm</t>
  </si>
  <si>
    <t>B4🍷</t>
  </si>
  <si>
    <t>Vi negre</t>
  </si>
  <si>
    <t>Castillo de Urtau (Ribera del D.)</t>
  </si>
  <si>
    <t>Copa</t>
  </si>
  <si>
    <t>Vi blanc</t>
  </si>
  <si>
    <t>Galeam ( Muscat Blanc)</t>
  </si>
  <si>
    <t>Vi</t>
  </si>
  <si>
    <t>Galeam (Monastrell Ecològic)</t>
  </si>
  <si>
    <t>Mas Viló (Priorat)</t>
  </si>
  <si>
    <t>Maset (Rioja Tempranillo)</t>
  </si>
  <si>
    <t>Maset (Verdejo Blanc)</t>
  </si>
  <si>
    <t>Vi negre d'estiu</t>
  </si>
  <si>
    <t>Tinto Verano La Casera 275 ml</t>
  </si>
  <si>
    <t>Vi amb Gasosa (Genèric)</t>
  </si>
  <si>
    <t>Vi negre d'estiu (Sangria). (Gerra)</t>
  </si>
  <si>
    <t>Viña Martina (Blanc)</t>
  </si>
  <si>
    <t>Viña Martina (Negre)</t>
  </si>
  <si>
    <t>Vi rosat</t>
  </si>
  <si>
    <t>Viña Martina (Rosat)</t>
  </si>
  <si>
    <t>B5🥃</t>
  </si>
  <si>
    <t>Anís sec</t>
  </si>
  <si>
    <t>Anís (Genèric)</t>
  </si>
  <si>
    <t>Estimació</t>
  </si>
  <si>
    <t>Glopet</t>
  </si>
  <si>
    <t>Got</t>
  </si>
  <si>
    <t>Anís Cerveró (Sec)</t>
  </si>
  <si>
    <t>https://www.todogin.com/licores/649-anis-seco-cazalla-cervero-1l.html</t>
  </si>
  <si>
    <t>Anís dolç</t>
  </si>
  <si>
    <t>Anís del Mono (Dolç)</t>
  </si>
  <si>
    <t>Amazon</t>
  </si>
  <si>
    <t>Anís Tenis (Sec)</t>
  </si>
  <si>
    <t>http://palomatenis.es/shop/index.php?route=product/product&amp;product_id=42</t>
  </si>
  <si>
    <t>Licor de crema</t>
  </si>
  <si>
    <t>Baileys</t>
  </si>
  <si>
    <t>Brandy</t>
  </si>
  <si>
    <t>Cardenal Mendoza</t>
  </si>
  <si>
    <t>Carlos III</t>
  </si>
  <si>
    <t>Magno</t>
  </si>
  <si>
    <t>Soberano</t>
  </si>
  <si>
    <t>Terry Centenari</t>
  </si>
  <si>
    <t>Torres 10</t>
  </si>
  <si>
    <t>Café-licor</t>
  </si>
  <si>
    <t>Cerol</t>
  </si>
  <si>
    <t>Pastor</t>
  </si>
  <si>
    <t>Comerco</t>
  </si>
  <si>
    <t>comerco</t>
  </si>
  <si>
    <t>Licor</t>
  </si>
  <si>
    <t>Cantueso</t>
  </si>
  <si>
    <t>Cointreau</t>
  </si>
  <si>
    <t>Ginebra</t>
  </si>
  <si>
    <t>Beefeter</t>
  </si>
  <si>
    <t>LicoCash</t>
  </si>
  <si>
    <t>Bombay</t>
  </si>
  <si>
    <t>Bombay Sapphire</t>
  </si>
  <si>
    <t>Hendricks</t>
  </si>
  <si>
    <t>Larios</t>
  </si>
  <si>
    <t>Puerto de Indias</t>
  </si>
  <si>
    <t>Seagrams</t>
  </si>
  <si>
    <t>Tankerai</t>
  </si>
  <si>
    <t>Herbero (Genèric)</t>
  </si>
  <si>
    <t>Jagermeister</t>
  </si>
  <si>
    <t>Licor 43</t>
  </si>
  <si>
    <t>Licor d'Herbes</t>
  </si>
  <si>
    <t>Geruch Berg</t>
  </si>
  <si>
    <t>Licor de Crema</t>
  </si>
  <si>
    <t>Licor de Poma</t>
  </si>
  <si>
    <t>Licor de Prèssec</t>
  </si>
  <si>
    <t>Malibú</t>
  </si>
  <si>
    <t xml:space="preserve">   </t>
  </si>
  <si>
    <t>Mistela (Genèric)</t>
  </si>
  <si>
    <t>Urujo (Genèric)</t>
  </si>
  <si>
    <t>Patxaran Las Endrinas 1L</t>
  </si>
  <si>
    <t>Ponx Caballero</t>
  </si>
  <si>
    <t>Ron</t>
  </si>
  <si>
    <t>Bacardí Carta Blanca</t>
  </si>
  <si>
    <t>Barceló (Envellit)</t>
  </si>
  <si>
    <t>Brugal (Envellit)</t>
  </si>
  <si>
    <t>Negrita Bardinet (Envellit)</t>
  </si>
  <si>
    <t>Tequila</t>
  </si>
  <si>
    <t>Tequila (Genèric)</t>
  </si>
  <si>
    <t>Vermut</t>
  </si>
  <si>
    <t>Cinzano Blanc</t>
  </si>
  <si>
    <t>Cinzano Roig</t>
  </si>
  <si>
    <t>Vermut de la casa</t>
  </si>
  <si>
    <t>Martini Blanc</t>
  </si>
  <si>
    <t>Martini Roig</t>
  </si>
  <si>
    <t>Vodka</t>
  </si>
  <si>
    <t>Absolut</t>
  </si>
  <si>
    <t>Smirnoff</t>
  </si>
  <si>
    <t>Whisky</t>
  </si>
  <si>
    <t>Ballantines</t>
  </si>
  <si>
    <t>Cardhu 12 anys</t>
  </si>
  <si>
    <t>Whisky Bourbon</t>
  </si>
  <si>
    <t>Four Roses</t>
  </si>
  <si>
    <t>Glenfiddich 12 anys</t>
  </si>
  <si>
    <t>Jack Daniels</t>
  </si>
  <si>
    <t>Jameson</t>
  </si>
  <si>
    <t>JB</t>
  </si>
  <si>
    <t>Jim Beam</t>
  </si>
  <si>
    <t>White Label</t>
  </si>
  <si>
    <t>LLISTAT DE MENJARS</t>
  </si>
  <si>
    <t>PRODUCTE</t>
  </si>
  <si>
    <t>M1🥗</t>
  </si>
  <si>
    <t>Plats combinats</t>
  </si>
  <si>
    <t>Amanida</t>
  </si>
  <si>
    <t>Amanida amb salat</t>
  </si>
  <si>
    <t>Amanida amb tomaca i capellà</t>
  </si>
  <si>
    <t>Embotit</t>
  </si>
  <si>
    <t>Emperador</t>
  </si>
  <si>
    <t>Entrecot</t>
  </si>
  <si>
    <t>Ous trencats</t>
  </si>
  <si>
    <t>Bacó</t>
  </si>
  <si>
    <t>Calamar romana</t>
  </si>
  <si>
    <t>Cansalada</t>
  </si>
  <si>
    <t>Costelles</t>
  </si>
  <si>
    <t>Cuixa de pollastre</t>
  </si>
  <si>
    <t>Llom</t>
  </si>
  <si>
    <t>Mitjana (Chuletón)</t>
  </si>
  <si>
    <t>Pexuga de pollastre</t>
  </si>
  <si>
    <t>Pollastre adobat</t>
  </si>
  <si>
    <t>Sepia</t>
  </si>
  <si>
    <t>Solomillo (Rellom)</t>
  </si>
  <si>
    <t>Ternera</t>
  </si>
  <si>
    <t>Tonyina</t>
  </si>
  <si>
    <t>Truita</t>
  </si>
  <si>
    <t>Xulles de corder</t>
  </si>
  <si>
    <t>Xurrasco</t>
  </si>
  <si>
    <t>M2🥖</t>
  </si>
  <si>
    <t>Entrepans</t>
  </si>
  <si>
    <t>1/2 Entrepà de Bacó</t>
  </si>
  <si>
    <t>Montadito de Bacó</t>
  </si>
  <si>
    <t>Burret mexicà</t>
  </si>
  <si>
    <t>Coquetes fregides</t>
  </si>
  <si>
    <t>En el TPV es deixa buit?</t>
  </si>
  <si>
    <t>1/2 Coca fregida</t>
  </si>
  <si>
    <t>Entrepans freds</t>
  </si>
  <si>
    <t>Cuixot</t>
  </si>
  <si>
    <t>1/2 Entrepà de Cuixot</t>
  </si>
  <si>
    <t>Montadito de Cuixot</t>
  </si>
  <si>
    <t>1/2 Entrepà d'Embotit</t>
  </si>
  <si>
    <t>Montadito d'Embotit</t>
  </si>
  <si>
    <t>Formatge manxego</t>
  </si>
  <si>
    <t>1/2 Entrepà de Formatge manxego</t>
  </si>
  <si>
    <t>Montadito de Formatge manxego</t>
  </si>
  <si>
    <t>Hamburgesa</t>
  </si>
  <si>
    <t>Hueva</t>
  </si>
  <si>
    <t>1/2 Entrepà de Hueva</t>
  </si>
  <si>
    <t>Montadito de Hueva</t>
  </si>
  <si>
    <t>1/2 Entrepà de Llom</t>
  </si>
  <si>
    <t>Montadito de Llom</t>
  </si>
  <si>
    <t>Llom adobat</t>
  </si>
  <si>
    <t>1/2 Entrepà de Llom adobat</t>
  </si>
  <si>
    <t>Montadito de Llom adobat</t>
  </si>
  <si>
    <t>Moixama</t>
  </si>
  <si>
    <t>1/2 Entrepà de Moixama</t>
  </si>
  <si>
    <t>Montadito de Moixama</t>
  </si>
  <si>
    <t>Pepito de vedella</t>
  </si>
  <si>
    <t>1/2 Pepito de vedella</t>
  </si>
  <si>
    <t>Montadito de Pepito de vedella</t>
  </si>
  <si>
    <t>1/2 Entrepà de Pexuga de pollastre</t>
  </si>
  <si>
    <t>Montadito de Pexuga de pollastre</t>
  </si>
  <si>
    <t>Pit de pollastre adobat</t>
  </si>
  <si>
    <t>1/2 Entrepà de Pit de pollastre adobat</t>
  </si>
  <si>
    <t>Montadito de Pit de pollastre adobat</t>
  </si>
  <si>
    <t>Saladet</t>
  </si>
  <si>
    <t>1/2 Entrepà de saladet</t>
  </si>
  <si>
    <t>Montadito de saladet</t>
  </si>
  <si>
    <t>Sandwich mixte</t>
  </si>
  <si>
    <t>Sandwich vegetal</t>
  </si>
  <si>
    <t>1/2 Entrepà de Tonyina</t>
  </si>
  <si>
    <t>Montadito de Tonyina</t>
  </si>
  <si>
    <t>Tonyina amb anxoves</t>
  </si>
  <si>
    <t>1/2 Entrepà de Tonyina amb anxoves</t>
  </si>
  <si>
    <t>Montadito de Tonyina amb anxoves</t>
  </si>
  <si>
    <t>Tortilongui</t>
  </si>
  <si>
    <t>1/2 Tortilongui</t>
  </si>
  <si>
    <t>Montadito de Tortilongui</t>
  </si>
  <si>
    <t>Truita amb cuixot</t>
  </si>
  <si>
    <t>1/2 Entrepà de Truita amb cuixot</t>
  </si>
  <si>
    <t>Montadito de Truita amb cuixot</t>
  </si>
  <si>
    <t>Truita amb formatge</t>
  </si>
  <si>
    <t>1/2 Entrepà de Truita amb formatge</t>
  </si>
  <si>
    <t>Montadito de Truita amb formatge</t>
  </si>
  <si>
    <t>Truita francesa</t>
  </si>
  <si>
    <t>1/2 Entrepà de Truita francesa</t>
  </si>
  <si>
    <t>Montadito de Truita francesa</t>
  </si>
  <si>
    <t>Vegetal (entrepà)</t>
  </si>
  <si>
    <t>1/2 Entrepà Vegetal</t>
  </si>
  <si>
    <t>Montadito d'Entrepà Vegetal</t>
  </si>
  <si>
    <t xml:space="preserve"> Complements. Ració</t>
  </si>
  <si>
    <t>Albergina</t>
  </si>
  <si>
    <t>Ceba caramelitzada</t>
  </si>
  <si>
    <t>Ceba cruixent</t>
  </si>
  <si>
    <t>Formatge</t>
  </si>
  <si>
    <t>Mesclum de lletuges</t>
  </si>
  <si>
    <t>Ou</t>
  </si>
  <si>
    <t>Pebrera (Vitet italià)</t>
  </si>
  <si>
    <t>Tomaca</t>
  </si>
  <si>
    <t>M3🍞</t>
  </si>
  <si>
    <t>Torrades</t>
  </si>
  <si>
    <t>Cuixot i formatge</t>
  </si>
  <si>
    <t>Mantega</t>
  </si>
  <si>
    <t>Mantega i melmelada</t>
  </si>
  <si>
    <t>Oli</t>
  </si>
  <si>
    <t>Salat</t>
  </si>
  <si>
    <t>M4🍢</t>
  </si>
  <si>
    <t>Tapes</t>
  </si>
  <si>
    <t>Agritos</t>
  </si>
  <si>
    <t>Aletes i Cuixetes de pollastre</t>
  </si>
  <si>
    <t>Callos</t>
  </si>
  <si>
    <t>Canapés</t>
  </si>
  <si>
    <t>Caragols</t>
  </si>
  <si>
    <t>Cloïsses</t>
  </si>
  <si>
    <t>Clòtxines</t>
  </si>
  <si>
    <t>Clòtxines a la vinagreta</t>
  </si>
  <si>
    <t>Clòtxines Tigre</t>
  </si>
  <si>
    <t>Corets de carxofa amb anxova</t>
  </si>
  <si>
    <t>Creïlles amb alls</t>
  </si>
  <si>
    <t>Creïlles braves</t>
  </si>
  <si>
    <t>Creïlles fregides</t>
  </si>
  <si>
    <t>Croquetes caseres</t>
  </si>
  <si>
    <t>Croquetes de Bacallà</t>
  </si>
  <si>
    <t>Croquetes de Boletus</t>
  </si>
  <si>
    <t>Croquetes de Cuixot</t>
  </si>
  <si>
    <t>Cuixot amb Formatge</t>
  </si>
  <si>
    <t>Ensaladilla</t>
  </si>
  <si>
    <t>Ensaladilla de marisc</t>
  </si>
  <si>
    <t>Ensaladilla amb carxofa</t>
  </si>
  <si>
    <t>Ja no la fem</t>
  </si>
  <si>
    <t>Ensaladilla amb formatge</t>
  </si>
  <si>
    <t>Esparrecs amb bacó</t>
  </si>
  <si>
    <t>Estofat de ternera</t>
  </si>
  <si>
    <t>Faves amb cuixot</t>
  </si>
  <si>
    <t>Faves bollides</t>
  </si>
  <si>
    <t>Fetxe a la planxa</t>
  </si>
  <si>
    <t>Formatge fregit</t>
  </si>
  <si>
    <t>Gambes arrebossades</t>
  </si>
  <si>
    <t>Gambeta a l'allet</t>
  </si>
  <si>
    <t>Gula del Nord</t>
  </si>
  <si>
    <t>Magre amb salsa</t>
  </si>
  <si>
    <t>Magre amb tomaca</t>
  </si>
  <si>
    <t>Mandonguilles</t>
  </si>
  <si>
    <t>Orella de porc</t>
  </si>
  <si>
    <t>Pasamar amb salsa</t>
  </si>
  <si>
    <t>Pinxo de pit de pollastre</t>
  </si>
  <si>
    <t>Pinxo de truita</t>
  </si>
  <si>
    <t>Piruletes de gamba</t>
  </si>
  <si>
    <t>Polpet</t>
  </si>
  <si>
    <t>Rabo de porc</t>
  </si>
  <si>
    <t>Saltejat de Bolets</t>
  </si>
  <si>
    <t>Saquets de Llonganissa</t>
  </si>
  <si>
    <t>Sardines a la planxa</t>
  </si>
  <si>
    <t>Sepia a la planxa</t>
  </si>
  <si>
    <t>Sepia amb salsa</t>
  </si>
  <si>
    <t>Solomillo amb allet</t>
  </si>
  <si>
    <t>Ternera amb salsa</t>
  </si>
  <si>
    <t>Xampinyó a la planxa</t>
  </si>
  <si>
    <t>Xoriset picant</t>
  </si>
  <si>
    <t>LLISTAT DE POSTRES i GELATS</t>
  </si>
  <si>
    <t>MARCA</t>
  </si>
  <si>
    <t>M5🍎</t>
  </si>
  <si>
    <t>Boles de Gelat</t>
  </si>
  <si>
    <t>Bola de Crema de Mantecado</t>
  </si>
  <si>
    <t>Bombons artesans</t>
  </si>
  <si>
    <t>Bombó Ametlat</t>
  </si>
  <si>
    <t>Bombó d'Oreo</t>
  </si>
  <si>
    <t>Bombó de Xocolate i Nata</t>
  </si>
  <si>
    <t>Cloïses</t>
  </si>
  <si>
    <t>Cloïsa de Mantecado</t>
  </si>
  <si>
    <t>Cloïsa de Torró</t>
  </si>
  <si>
    <t>Cloïsa de Xocolate</t>
  </si>
  <si>
    <t>Conos</t>
  </si>
  <si>
    <t>Cono de Mantecado</t>
  </si>
  <si>
    <t>Cono de Mantecado amb Xocolate</t>
  </si>
  <si>
    <t>Cono de Nata amb Xocolate</t>
  </si>
  <si>
    <t>Cono de Torró</t>
  </si>
  <si>
    <t>Gelat d'impulso</t>
  </si>
  <si>
    <t>Cono Jicono XocoTrufa</t>
  </si>
  <si>
    <t>Cono Maxi Jicono Cruixent</t>
  </si>
  <si>
    <t>Cono Mini Stracciatella</t>
  </si>
  <si>
    <t>Coiots</t>
  </si>
  <si>
    <t>Coyote</t>
  </si>
  <si>
    <t>Creps</t>
  </si>
  <si>
    <t>Flan</t>
  </si>
  <si>
    <t>Fruita del temps</t>
  </si>
  <si>
    <t>Granissat</t>
  </si>
  <si>
    <t>Granissat d'orxata</t>
  </si>
  <si>
    <t>Granissat de café</t>
  </si>
  <si>
    <t>Granissat de llimó</t>
  </si>
  <si>
    <t>Iogut</t>
  </si>
  <si>
    <t>Jumpi Push Up</t>
  </si>
  <si>
    <t>Mini Misiles</t>
  </si>
  <si>
    <t>Pink Mouse</t>
  </si>
  <si>
    <t>Polos</t>
  </si>
  <si>
    <t>Polo d'Orxata</t>
  </si>
  <si>
    <t>Polo de Cafè</t>
  </si>
  <si>
    <t>Polo de Llimó</t>
  </si>
  <si>
    <t>Polo de Maduixa</t>
  </si>
  <si>
    <t>Polo de Menta</t>
  </si>
  <si>
    <t>Polo de Taronja</t>
  </si>
  <si>
    <t>Polo Gran Bombó Cookies</t>
  </si>
  <si>
    <t>Sandwich de Nata</t>
  </si>
  <si>
    <t>Tarrines</t>
  </si>
  <si>
    <t>Tarrina de Mantecado</t>
  </si>
  <si>
    <t>Tarrina de Torró</t>
  </si>
  <si>
    <t>Tarrina de Xocolate</t>
  </si>
  <si>
    <t>Tarta</t>
  </si>
  <si>
    <t>Tarta (Genèrica)</t>
  </si>
  <si>
    <t>Tarta de Figues</t>
  </si>
  <si>
    <t>Tarta de Formatge</t>
  </si>
  <si>
    <t>Tarta de tres Xocolates</t>
  </si>
  <si>
    <t>VALENCIÀ</t>
  </si>
  <si>
    <t>CASTELLÀ</t>
  </si>
  <si>
    <t>Berenjena</t>
  </si>
  <si>
    <t>Aletas y Muslos de pollo</t>
  </si>
  <si>
    <t>All</t>
  </si>
  <si>
    <t>Ajo</t>
  </si>
  <si>
    <t>Ensalada</t>
  </si>
  <si>
    <t>Anxoves</t>
  </si>
  <si>
    <t>Anchoas</t>
  </si>
  <si>
    <t>Bacallà</t>
  </si>
  <si>
    <t>Bacalao</t>
  </si>
  <si>
    <t>Bacon</t>
  </si>
  <si>
    <t>Burrito mexicano</t>
  </si>
  <si>
    <t>Tocino</t>
  </si>
  <si>
    <t>Caracoles</t>
  </si>
  <si>
    <t>Carxofa</t>
  </si>
  <si>
    <t>Alcachofa</t>
  </si>
  <si>
    <t>Cebolla caramelizada</t>
  </si>
  <si>
    <t>Cebolla crujiente</t>
  </si>
  <si>
    <t>Almejas</t>
  </si>
  <si>
    <t>Mejillones</t>
  </si>
  <si>
    <t>Tortitas fritas</t>
  </si>
  <si>
    <t>Corazones de alcachofa con anchoa</t>
  </si>
  <si>
    <t>Costillas</t>
  </si>
  <si>
    <t>Creïlles</t>
  </si>
  <si>
    <t>Patatas</t>
  </si>
  <si>
    <t>Patatas fritas</t>
  </si>
  <si>
    <t>Croquetes</t>
  </si>
  <si>
    <t>Croquetas</t>
  </si>
  <si>
    <t>Muslo de pollo</t>
  </si>
  <si>
    <t>Jamón serrano</t>
  </si>
  <si>
    <t>Embutido</t>
  </si>
  <si>
    <t>Esparrecs</t>
  </si>
  <si>
    <t>Espárragos</t>
  </si>
  <si>
    <t>Estofat</t>
  </si>
  <si>
    <t>Estofado</t>
  </si>
  <si>
    <t>Habas hervidas</t>
  </si>
  <si>
    <t>Hígado a la plancha</t>
  </si>
  <si>
    <t>Queso frito</t>
  </si>
  <si>
    <t>Queso manchego</t>
  </si>
  <si>
    <t>Gambas rebozadas</t>
  </si>
  <si>
    <t>Gambas al ajillo</t>
  </si>
  <si>
    <t>Gula del Norte</t>
  </si>
  <si>
    <t>Lomo adobado</t>
  </si>
  <si>
    <t>Magro con tomate</t>
  </si>
  <si>
    <t>Albóndigas</t>
  </si>
  <si>
    <t>Mantequilla</t>
  </si>
  <si>
    <t>Melmelada</t>
  </si>
  <si>
    <t>Mermelada</t>
  </si>
  <si>
    <t>Mezcla de lechuga</t>
  </si>
  <si>
    <t>Chuletón</t>
  </si>
  <si>
    <t>Mojama</t>
  </si>
  <si>
    <t>Aceite</t>
  </si>
  <si>
    <t>Oreja de cerdo</t>
  </si>
  <si>
    <t>Ou, Ous trencats</t>
  </si>
  <si>
    <t>Huevo, Huevos rotos</t>
  </si>
  <si>
    <t>Pimiento (Pimiento italiano)</t>
  </si>
  <si>
    <t>Pepito de ternera</t>
  </si>
  <si>
    <t>Pechuga de pollo</t>
  </si>
  <si>
    <t>Pinxo</t>
  </si>
  <si>
    <t>Pincho</t>
  </si>
  <si>
    <t>Pechuga de pollo adobado</t>
  </si>
  <si>
    <t>Pollo adobado</t>
  </si>
  <si>
    <t>Pulpito</t>
  </si>
  <si>
    <t>Rabo de cerdo</t>
  </si>
  <si>
    <t>Salat, Saladet</t>
  </si>
  <si>
    <t>Salado, Saladito</t>
  </si>
  <si>
    <t>Saltejat de bolets</t>
  </si>
  <si>
    <t>Salteado de setas</t>
  </si>
  <si>
    <t>Saquitos de longaniza</t>
  </si>
  <si>
    <t>Tomate</t>
  </si>
  <si>
    <t>Atún</t>
  </si>
  <si>
    <t>Tortilla con embutidos</t>
  </si>
  <si>
    <t>Tortilla</t>
  </si>
  <si>
    <t>Champiñón a la plancha</t>
  </si>
  <si>
    <t>Chorizo picante</t>
  </si>
  <si>
    <t>Chuletas de cordero</t>
  </si>
  <si>
    <t>Churrasco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</si>
</sst>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#,##0.00\ [$€-1]"/>
    <numFmt numFmtId="166" formatCode="#,##0.00000\ [$€-1]"/>
  </numFmts>
  <fonts count="13">
    <font>
      <sz val="10.0"/>
      <color rgb="FF000000"/>
      <name val="Arial"/>
    </font>
    <font>
      <b/>
      <name val="Roboto Condensed"/>
    </font>
    <font>
      <b/>
      <color rgb="FFFFFFFF"/>
      <name val="Roboto Condensed"/>
    </font>
    <font>
      <color rgb="FFFFFFFF"/>
      <name val="Roboto Condensed"/>
    </font>
    <font>
      <color rgb="FF0000FF"/>
      <name val="Roboto Condensed"/>
    </font>
    <font>
      <b/>
      <color rgb="FF000000"/>
      <name val="Roboto Condensed"/>
    </font>
    <font>
      <b/>
      <color rgb="FF0000FF"/>
      <name val="Roboto Condensed"/>
    </font>
    <font/>
    <font>
      <name val="Roboto Condensed"/>
    </font>
    <font>
      <u/>
      <color rgb="FF0000FF"/>
      <name val="Roboto Condensed"/>
    </font>
    <font>
      <color rgb="FF000000"/>
      <name val="Roboto Condensed"/>
    </font>
    <font>
      <b/>
      <sz val="14.0"/>
      <color rgb="FFFFFFFF"/>
      <name val="Barlow Condensed"/>
    </font>
    <font>
      <sz val="14.0"/>
      <name val="Barlow Condensed"/>
    </font>
  </fonts>
  <fills count="1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0000"/>
        <bgColor rgb="FF000000"/>
      </patternFill>
    </fill>
    <fill>
      <patternFill patternType="solid">
        <fgColor rgb="FF980000"/>
        <bgColor rgb="FF980000"/>
      </patternFill>
    </fill>
    <fill>
      <patternFill patternType="solid">
        <fgColor rgb="FFFFE599"/>
        <bgColor rgb="FFFFE599"/>
      </patternFill>
    </fill>
    <fill>
      <patternFill patternType="solid">
        <fgColor rgb="FF0000FF"/>
        <bgColor rgb="FF0000F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434343"/>
        <bgColor rgb="FF434343"/>
      </patternFill>
    </fill>
  </fills>
  <borders count="104">
    <border/>
    <border>
      <left style="thick">
        <color rgb="FF000000"/>
      </left>
      <right style="thick">
        <color rgb="FF000000"/>
      </right>
    </border>
    <border>
      <right style="dotted">
        <color rgb="FF000000"/>
      </right>
    </border>
    <border>
      <left style="dotted">
        <color rgb="FF000000"/>
      </left>
      <right style="medium">
        <color rgb="FF000000"/>
      </right>
    </border>
    <border>
      <left style="medium">
        <color rgb="FF000000"/>
      </left>
      <right style="dotted">
        <color rgb="FF000000"/>
      </right>
    </border>
    <border>
      <left style="dotted">
        <color rgb="FF000000"/>
      </left>
      <right style="thick">
        <color rgb="FF000000"/>
      </right>
    </border>
    <border>
      <left style="dotted">
        <color rgb="FF000000"/>
      </left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 style="medium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dotted">
        <color rgb="FFFFFFFF"/>
      </bottom>
    </border>
    <border>
      <right style="thin">
        <color rgb="FFFFFFFF"/>
      </right>
      <bottom style="dotted">
        <color rgb="FFFFFFFF"/>
      </bottom>
    </border>
    <border>
      <right style="thin">
        <color rgb="FFFFFFFF"/>
      </right>
    </border>
    <border>
      <left style="thin">
        <color rgb="FFFFFFFF"/>
      </left>
    </border>
    <border>
      <left style="thin">
        <color rgb="FFFFFFFF"/>
      </left>
      <bottom style="dotted">
        <color rgb="FFFFFFFF"/>
      </bottom>
    </border>
    <border>
      <right style="dotted">
        <color rgb="FFFFFFFF"/>
      </right>
    </border>
    <border>
      <left style="thin">
        <color rgb="FFFFFFFF"/>
      </left>
      <right style="thin">
        <color rgb="FFFFFFFF"/>
      </right>
    </border>
    <border>
      <left style="dotted">
        <color rgb="FFFFFFFF"/>
      </left>
      <right style="thin">
        <color rgb="FFFFFFFF"/>
      </right>
    </border>
    <border>
      <right style="thin">
        <color rgb="FFFFFFFF"/>
      </right>
      <bottom style="thin">
        <color rgb="FF000000"/>
      </bottom>
    </border>
    <border>
      <left style="thin">
        <color rgb="FFFFFFFF"/>
      </left>
      <bottom style="thin">
        <color rgb="FF000000"/>
      </bottom>
    </border>
    <border>
      <left style="thin">
        <color rgb="FFFFFFFF"/>
      </left>
      <right style="dotted">
        <color rgb="FFFFFFFF"/>
      </right>
    </border>
    <border>
      <left style="thin">
        <color rgb="FF999999"/>
      </left>
      <bottom style="thin">
        <color rgb="FF999999"/>
      </bottom>
    </border>
    <border>
      <left style="thin">
        <color rgb="FF000000"/>
      </left>
      <bottom style="thin">
        <color rgb="FF999999"/>
      </bottom>
    </border>
    <border>
      <left style="thick">
        <color rgb="FF000000"/>
      </left>
      <bottom style="thin">
        <color rgb="FF999999"/>
      </bottom>
    </border>
    <border>
      <left style="dotted">
        <color rgb="FF000000"/>
      </left>
      <bottom style="thin">
        <color rgb="FF999999"/>
      </bottom>
    </border>
    <border>
      <left style="thin">
        <color rgb="FF000000"/>
      </left>
      <right style="thick">
        <color rgb="FF000000"/>
      </right>
      <bottom style="thin">
        <color rgb="FF999999"/>
      </bottom>
    </border>
    <border>
      <bottom style="thin">
        <color rgb="FF999999"/>
      </bottom>
    </border>
    <border>
      <left style="dotted">
        <color rgb="FF000000"/>
      </left>
      <right style="thick">
        <color rgb="FF000000"/>
      </right>
      <bottom style="thin">
        <color rgb="FF999999"/>
      </bottom>
    </border>
    <border>
      <right style="thick">
        <color rgb="FF000000"/>
      </right>
      <bottom style="thin">
        <color rgb="FF999999"/>
      </bottom>
    </border>
    <border>
      <left style="dotted">
        <color rgb="FF000000"/>
      </left>
      <right style="medium">
        <color rgb="FF000000"/>
      </right>
      <bottom style="thin">
        <color rgb="FF999999"/>
      </bottom>
    </border>
    <border>
      <right style="dotted">
        <color rgb="FF000000"/>
      </right>
      <bottom style="thin">
        <color rgb="FF999999"/>
      </bottom>
    </border>
    <border>
      <left style="dotted">
        <color rgb="FF000000"/>
      </left>
      <right style="thin">
        <color rgb="FF999999"/>
      </right>
      <bottom style="thin">
        <color rgb="FF999999"/>
      </bottom>
    </border>
    <border>
      <left style="thin">
        <color rgb="FF999999"/>
      </left>
    </border>
    <border>
      <left style="thin">
        <color rgb="FF000000"/>
      </left>
    </border>
    <border>
      <left style="thick">
        <color rgb="FF000000"/>
      </left>
    </border>
    <border>
      <left style="thin">
        <color rgb="FF000000"/>
      </left>
      <right style="thick">
        <color rgb="FF000000"/>
      </right>
    </border>
    <border>
      <right style="thick">
        <color rgb="FF000000"/>
      </right>
    </border>
    <border>
      <left style="dotted">
        <color rgb="FF000000"/>
      </left>
      <right style="thin">
        <color rgb="FF999999"/>
      </right>
    </border>
    <border>
      <left style="thin">
        <color rgb="FF999999"/>
      </lef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ck">
        <color rgb="FF000000"/>
      </left>
      <top style="thick">
        <color rgb="FF000000"/>
      </top>
    </border>
    <border>
      <left style="dotted">
        <color rgb="FF000000"/>
      </lef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dotted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n">
        <color rgb="FF999999"/>
      </top>
      <bottom style="thin">
        <color rgb="FF999999"/>
      </bottom>
    </border>
    <border>
      <left style="dotted">
        <color rgb="FF000000"/>
      </left>
      <right style="medium">
        <color rgb="FF000000"/>
      </right>
      <top style="thick">
        <color rgb="FF000000"/>
      </top>
    </border>
    <border>
      <right style="dotted">
        <color rgb="FF000000"/>
      </right>
      <top style="thick">
        <color rgb="FF000000"/>
      </top>
    </border>
    <border>
      <left style="dotted">
        <color rgb="FF000000"/>
      </left>
      <right style="thin">
        <color rgb="FF999999"/>
      </right>
      <top style="thick">
        <color rgb="FF000000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000000"/>
      </left>
      <top style="thin">
        <color rgb="FF999999"/>
      </top>
      <bottom style="thin">
        <color rgb="FF999999"/>
      </bottom>
    </border>
    <border>
      <left style="thick">
        <color rgb="FF000000"/>
      </left>
      <top style="thin">
        <color rgb="FF999999"/>
      </top>
      <bottom style="thin">
        <color rgb="FF999999"/>
      </bottom>
    </border>
    <border>
      <left style="dotted">
        <color rgb="FF000000"/>
      </left>
      <top style="thin">
        <color rgb="FF999999"/>
      </top>
      <bottom style="thin">
        <color rgb="FF999999"/>
      </bottom>
    </border>
    <border>
      <left style="thin">
        <color rgb="FF000000"/>
      </left>
      <right style="thick">
        <color rgb="FF000000"/>
      </righ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dotted">
        <color rgb="FF000000"/>
      </left>
      <right style="thick">
        <color rgb="FF000000"/>
      </right>
      <top style="thin">
        <color rgb="FF999999"/>
      </top>
      <bottom style="thin">
        <color rgb="FF999999"/>
      </bottom>
    </border>
    <border>
      <left style="dotted">
        <color rgb="FF000000"/>
      </left>
      <right style="medium">
        <color rgb="FF000000"/>
      </right>
      <top style="thin">
        <color rgb="FF999999"/>
      </top>
      <bottom style="thin">
        <color rgb="FF999999"/>
      </bottom>
    </border>
    <border>
      <right style="dotted">
        <color rgb="FF000000"/>
      </right>
      <top style="thin">
        <color rgb="FF999999"/>
      </top>
      <bottom style="thin">
        <color rgb="FF999999"/>
      </bottom>
    </border>
    <border>
      <left style="dotted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ck">
        <color rgb="FF000000"/>
      </bottom>
    </border>
    <border>
      <left style="thin">
        <color rgb="FF000000"/>
      </left>
      <top style="thin">
        <color rgb="FF999999"/>
      </top>
      <bottom style="thick">
        <color rgb="FF000000"/>
      </bottom>
    </border>
    <border>
      <left style="thick">
        <color rgb="FF000000"/>
      </left>
      <top style="thin">
        <color rgb="FF999999"/>
      </top>
      <bottom style="thick">
        <color rgb="FF000000"/>
      </bottom>
    </border>
    <border>
      <left style="dotted">
        <color rgb="FF000000"/>
      </left>
      <top style="thin">
        <color rgb="FF999999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999999"/>
      </top>
      <bottom style="thick">
        <color rgb="FF000000"/>
      </bottom>
    </border>
    <border>
      <top style="thin">
        <color rgb="FF999999"/>
      </top>
      <bottom style="thick">
        <color rgb="FF000000"/>
      </bottom>
    </border>
    <border>
      <left style="dotted">
        <color rgb="FF000000"/>
      </left>
      <right style="thick">
        <color rgb="FF000000"/>
      </right>
      <top style="thin">
        <color rgb="FF999999"/>
      </top>
      <bottom style="thick">
        <color rgb="FF000000"/>
      </bottom>
    </border>
    <border>
      <right style="thick">
        <color rgb="FF000000"/>
      </right>
      <top style="thin">
        <color rgb="FF999999"/>
      </top>
      <bottom style="thick">
        <color rgb="FF000000"/>
      </bottom>
    </border>
    <border>
      <left style="dotted">
        <color rgb="FF000000"/>
      </left>
      <right style="medium">
        <color rgb="FF000000"/>
      </right>
      <top style="thin">
        <color rgb="FF999999"/>
      </top>
      <bottom style="thick">
        <color rgb="FF000000"/>
      </bottom>
    </border>
    <border>
      <right style="dotted">
        <color rgb="FF000000"/>
      </right>
      <top style="thin">
        <color rgb="FF999999"/>
      </top>
      <bottom style="thick">
        <color rgb="FF000000"/>
      </bottom>
    </border>
    <border>
      <left style="dotted">
        <color rgb="FF000000"/>
      </left>
      <right style="thin">
        <color rgb="FF999999"/>
      </right>
      <top style="thin">
        <color rgb="FF999999"/>
      </top>
      <bottom style="thick">
        <color rgb="FF000000"/>
      </bottom>
    </border>
    <border>
      <left style="thin">
        <color rgb="FF999999"/>
      </left>
      <top style="thick">
        <color rgb="FF000000"/>
      </top>
      <bottom style="thin">
        <color rgb="FF999999"/>
      </bottom>
    </border>
    <border>
      <left style="thin">
        <color rgb="FF000000"/>
      </left>
      <top style="thick">
        <color rgb="FF000000"/>
      </top>
      <bottom style="thin">
        <color rgb="FF999999"/>
      </bottom>
    </border>
    <border>
      <left style="thick">
        <color rgb="FF000000"/>
      </left>
      <top style="thick">
        <color rgb="FF000000"/>
      </top>
      <bottom style="thin">
        <color rgb="FF999999"/>
      </bottom>
    </border>
    <border>
      <left style="dotted">
        <color rgb="FF000000"/>
      </left>
      <top style="thick">
        <color rgb="FF000000"/>
      </top>
      <bottom style="thin">
        <color rgb="FF999999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999999"/>
      </bottom>
    </border>
    <border>
      <top style="thick">
        <color rgb="FF000000"/>
      </top>
      <bottom style="thin">
        <color rgb="FF999999"/>
      </bottom>
    </border>
    <border>
      <left style="dotted">
        <color rgb="FF000000"/>
      </left>
      <right style="thick">
        <color rgb="FF000000"/>
      </right>
      <top style="thick">
        <color rgb="FF000000"/>
      </top>
      <bottom style="thin">
        <color rgb="FF999999"/>
      </bottom>
    </border>
    <border>
      <right style="thick">
        <color rgb="FF000000"/>
      </right>
      <top style="thick">
        <color rgb="FF000000"/>
      </top>
      <bottom style="thin">
        <color rgb="FF999999"/>
      </bottom>
    </border>
    <border>
      <left style="dotted">
        <color rgb="FF000000"/>
      </left>
      <right style="medium">
        <color rgb="FF000000"/>
      </right>
      <top style="thick">
        <color rgb="FF000000"/>
      </top>
      <bottom style="thin">
        <color rgb="FF999999"/>
      </bottom>
    </border>
    <border>
      <right style="dotted">
        <color rgb="FF000000"/>
      </right>
      <top style="thick">
        <color rgb="FF000000"/>
      </top>
      <bottom style="thin">
        <color rgb="FF999999"/>
      </bottom>
    </border>
    <border>
      <left style="dotted">
        <color rgb="FF000000"/>
      </left>
      <right style="thin">
        <color rgb="FF999999"/>
      </right>
      <top style="thick">
        <color rgb="FF000000"/>
      </top>
      <bottom style="thin">
        <color rgb="FF999999"/>
      </bottom>
    </border>
    <border>
      <left style="thin">
        <color rgb="FF999999"/>
      </lef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left style="thin">
        <color rgb="FF999999"/>
      </lef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top style="thin">
        <color rgb="FF999999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999999"/>
      </top>
      <bottom style="thin">
        <color rgb="FF000000"/>
      </bottom>
    </border>
    <border>
      <left style="dotted">
        <color rgb="FF000000"/>
      </left>
      <right style="thick">
        <color rgb="FF000000"/>
      </right>
      <top style="thin">
        <color rgb="FF999999"/>
      </top>
      <bottom style="thin">
        <color rgb="FF000000"/>
      </bottom>
    </border>
    <border>
      <right style="thick">
        <color rgb="FF000000"/>
      </right>
      <top style="thin">
        <color rgb="FF999999"/>
      </top>
      <bottom style="thin">
        <color rgb="FF000000"/>
      </bottom>
    </border>
    <border>
      <top style="thin">
        <color rgb="FF999999"/>
      </top>
      <bottom style="thin">
        <color rgb="FF000000"/>
      </bottom>
    </border>
    <border>
      <left style="dotted">
        <color rgb="FF000000"/>
      </left>
      <right style="medium">
        <color rgb="FF000000"/>
      </right>
      <top style="thin">
        <color rgb="FF999999"/>
      </top>
      <bottom style="thin">
        <color rgb="FF000000"/>
      </bottom>
    </border>
    <border>
      <right style="dotted">
        <color rgb="FF000000"/>
      </right>
      <top style="thin">
        <color rgb="FF999999"/>
      </top>
      <bottom style="thin">
        <color rgb="FF000000"/>
      </bottom>
    </border>
    <border>
      <left style="dotted">
        <color rgb="FF000000"/>
      </left>
      <right style="thin">
        <color rgb="FF999999"/>
      </right>
      <top style="thin">
        <color rgb="FF999999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 style="dotted">
        <color rgb="FF000000"/>
      </lef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dotted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dotted">
        <color rgb="FF000000"/>
      </left>
      <right style="medium">
        <color rgb="FF000000"/>
      </right>
      <bottom style="thick">
        <color rgb="FF000000"/>
      </bottom>
    </border>
    <border>
      <right style="dotted">
        <color rgb="FF000000"/>
      </right>
      <bottom style="thick">
        <color rgb="FF000000"/>
      </bottom>
    </border>
    <border>
      <left style="dotted">
        <color rgb="FF000000"/>
      </left>
      <right style="thin">
        <color rgb="FF999999"/>
      </right>
      <bottom style="thick">
        <color rgb="FF000000"/>
      </bottom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2" fontId="2" numFmtId="0" xfId="0" applyAlignment="1" applyFill="1" applyFont="1">
      <alignment horizontal="right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5" numFmtId="165" xfId="0" applyAlignment="1" applyBorder="1" applyFont="1" applyNumberFormat="1">
      <alignment readingOrder="0" vertical="center"/>
    </xf>
    <xf borderId="1" fillId="5" fontId="6" numFmtId="165" xfId="0" applyAlignment="1" applyBorder="1" applyFill="1" applyFont="1" applyNumberFormat="1">
      <alignment readingOrder="0" vertical="center"/>
    </xf>
    <xf borderId="2" fillId="0" fontId="4" numFmtId="0" xfId="0" applyAlignment="1" applyBorder="1" applyFont="1">
      <alignment horizontal="center" readingOrder="0" vertical="center"/>
    </xf>
    <xf borderId="3" fillId="0" fontId="5" numFmtId="165" xfId="0" applyAlignment="1" applyBorder="1" applyFont="1" applyNumberFormat="1">
      <alignment horizontal="center" readingOrder="0" vertical="center"/>
    </xf>
    <xf borderId="4" fillId="0" fontId="4" numFmtId="164" xfId="0" applyAlignment="1" applyBorder="1" applyFont="1" applyNumberForma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2" fillId="6" fontId="2" numFmtId="0" xfId="0" applyAlignment="1" applyBorder="1" applyFill="1" applyFont="1">
      <alignment horizontal="center" readingOrder="0" vertical="center"/>
    </xf>
    <xf borderId="6" fillId="7" fontId="6" numFmtId="165" xfId="0" applyAlignment="1" applyBorder="1" applyFill="1" applyFont="1" applyNumberFormat="1">
      <alignment readingOrder="0" vertical="center"/>
    </xf>
    <xf borderId="6" fillId="0" fontId="4" numFmtId="164" xfId="0" applyAlignment="1" applyBorder="1" applyFont="1" applyNumberFormat="1">
      <alignment horizontal="center" readingOrder="0" vertical="center"/>
    </xf>
    <xf borderId="7" fillId="0" fontId="7" numFmtId="0" xfId="0" applyBorder="1" applyFont="1"/>
    <xf borderId="8" fillId="0" fontId="7" numFmtId="0" xfId="0" applyBorder="1" applyFont="1"/>
    <xf borderId="1" fillId="8" fontId="5" numFmtId="165" xfId="0" applyAlignment="1" applyBorder="1" applyFill="1" applyFont="1" applyNumberFormat="1">
      <alignment readingOrder="0" vertical="center"/>
    </xf>
    <xf borderId="9" fillId="0" fontId="7" numFmtId="0" xfId="0" applyBorder="1" applyFont="1"/>
    <xf borderId="3" fillId="9" fontId="6" numFmtId="165" xfId="0" applyAlignment="1" applyBorder="1" applyFill="1" applyFont="1" applyNumberFormat="1">
      <alignment horizontal="center" readingOrder="0" vertical="center"/>
    </xf>
    <xf borderId="10" fillId="0" fontId="7" numFmtId="0" xfId="0" applyBorder="1" applyFont="1"/>
    <xf borderId="11" fillId="0" fontId="7" numFmtId="0" xfId="0" applyBorder="1" applyFont="1"/>
    <xf borderId="2" fillId="4" fontId="2" numFmtId="0" xfId="0" applyAlignment="1" applyBorder="1" applyFill="1" applyFont="1">
      <alignment horizontal="center" readingOrder="0" vertical="center"/>
    </xf>
    <xf borderId="6" fillId="5" fontId="5" numFmtId="165" xfId="0" applyAlignment="1" applyBorder="1" applyFill="1" applyFont="1" applyNumberFormat="1">
      <alignment readingOrder="0" vertical="center"/>
    </xf>
    <xf borderId="6" fillId="0" fontId="8" numFmtId="165" xfId="0" applyAlignment="1" applyBorder="1" applyFont="1" applyNumberFormat="1">
      <alignment vertical="center"/>
    </xf>
    <xf borderId="12" fillId="0" fontId="1" numFmtId="0" xfId="0" applyAlignment="1" applyBorder="1" applyFont="1">
      <alignment horizontal="left" readingOrder="0" vertical="top"/>
    </xf>
    <xf borderId="12" fillId="0" fontId="1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center" readingOrder="0" vertical="center"/>
    </xf>
    <xf borderId="12" fillId="0" fontId="7" numFmtId="0" xfId="0" applyBorder="1" applyFont="1"/>
    <xf borderId="13" fillId="3" fontId="2" numFmtId="0" xfId="0" applyAlignment="1" applyBorder="1" applyFill="1" applyFont="1">
      <alignment horizontal="center" readingOrder="0" vertical="center"/>
    </xf>
    <xf borderId="13" fillId="0" fontId="7" numFmtId="0" xfId="0" applyBorder="1" applyFont="1"/>
    <xf borderId="14" fillId="3" fontId="2" numFmtId="0" xfId="0" applyAlignment="1" applyBorder="1" applyFill="1" applyFont="1">
      <alignment horizontal="center" readingOrder="0" vertical="center"/>
    </xf>
    <xf borderId="15" fillId="3" fontId="2" numFmtId="0" xfId="0" applyAlignment="1" applyBorder="1" applyFill="1" applyFont="1">
      <alignment horizontal="center" readingOrder="0" vertical="center"/>
    </xf>
    <xf borderId="16" fillId="6" fontId="2" numFmtId="0" xfId="0" applyAlignment="1" applyBorder="1" applyFill="1" applyFont="1">
      <alignment horizontal="center" readingOrder="0" vertical="center"/>
    </xf>
    <xf borderId="17" fillId="3" fontId="2" numFmtId="0" xfId="0" applyAlignment="1" applyBorder="1" applyFill="1" applyFont="1">
      <alignment horizontal="center" readingOrder="0" vertical="center"/>
    </xf>
    <xf borderId="14" fillId="0" fontId="7" numFmtId="0" xfId="0" applyBorder="1" applyFont="1"/>
    <xf borderId="18" fillId="3" fontId="2" numFmtId="0" xfId="0" applyAlignment="1" applyBorder="1" applyFill="1" applyFont="1">
      <alignment horizontal="center" readingOrder="0" vertical="center"/>
    </xf>
    <xf borderId="18" fillId="4" fontId="2" numFmtId="0" xfId="0" applyAlignment="1" applyBorder="1" applyFill="1" applyFont="1">
      <alignment horizontal="center" readingOrder="0" vertical="center"/>
    </xf>
    <xf borderId="19" fillId="3" fontId="2" numFmtId="0" xfId="0" applyAlignment="1" applyBorder="1" applyFill="1" applyFont="1">
      <alignment horizontal="center" readingOrder="0" vertical="center"/>
    </xf>
    <xf borderId="16" fillId="3" fontId="2" numFmtId="0" xfId="0" applyAlignment="1" applyBorder="1" applyFill="1" applyFont="1">
      <alignment horizontal="center" readingOrder="0" vertical="center"/>
    </xf>
    <xf borderId="20" fillId="3" fontId="2" numFmtId="0" xfId="0" applyAlignment="1" applyBorder="1" applyFill="1" applyFont="1">
      <alignment horizontal="center" readingOrder="0" vertical="center"/>
    </xf>
    <xf borderId="18" fillId="0" fontId="7" numFmtId="0" xfId="0" applyBorder="1" applyFont="1"/>
    <xf borderId="21" fillId="0" fontId="7" numFmtId="0" xfId="0" applyBorder="1" applyFont="1"/>
    <xf borderId="22" fillId="0" fontId="7" numFmtId="0" xfId="0" applyBorder="1" applyFont="1"/>
    <xf borderId="23" fillId="3" fontId="2" numFmtId="0" xfId="0" applyAlignment="1" applyBorder="1" applyFill="1" applyFont="1">
      <alignment horizontal="center" readingOrder="0" vertical="center"/>
    </xf>
    <xf borderId="15" fillId="4" fontId="2" numFmtId="0" xfId="0" applyAlignment="1" applyBorder="1" applyFill="1" applyFont="1">
      <alignment horizontal="center" readingOrder="0" vertical="center"/>
    </xf>
    <xf borderId="16" fillId="0" fontId="7" numFmtId="0" xfId="0" applyBorder="1" applyFont="1"/>
    <xf borderId="24" fillId="0" fontId="8" numFmtId="0" xfId="0" applyAlignment="1" applyBorder="1" applyFont="1">
      <alignment readingOrder="0" vertical="center"/>
    </xf>
    <xf borderId="25" fillId="0" fontId="8" numFmtId="0" xfId="0" applyAlignment="1" applyBorder="1" applyFont="1">
      <alignment readingOrder="0" vertical="center"/>
    </xf>
    <xf borderId="26" fillId="0" fontId="1" numFmtId="0" xfId="0" applyAlignment="1" applyBorder="1" applyFont="1">
      <alignment readingOrder="0" vertical="center"/>
    </xf>
    <xf borderId="27" fillId="0" fontId="4" numFmtId="1" xfId="0" applyAlignment="1" applyBorder="1" applyFont="1" applyNumberFormat="1">
      <alignment horizontal="right" readingOrder="0" vertical="center"/>
    </xf>
    <xf borderId="28" fillId="7" fontId="6" numFmtId="165" xfId="0" applyAlignment="1" applyBorder="1" applyFill="1" applyFont="1" applyNumberFormat="1">
      <alignment readingOrder="0" vertical="center"/>
    </xf>
    <xf borderId="29" fillId="0" fontId="5" numFmtId="9" xfId="0" applyAlignment="1" applyBorder="1" applyFont="1" applyNumberFormat="1">
      <alignment readingOrder="0" vertical="center"/>
    </xf>
    <xf borderId="30" fillId="0" fontId="5" numFmtId="165" xfId="0" applyAlignment="1" applyBorder="1" applyFont="1" applyNumberFormat="1">
      <alignment readingOrder="0" vertical="center"/>
    </xf>
    <xf borderId="31" fillId="5" fontId="5" numFmtId="165" xfId="0" applyAlignment="1" applyBorder="1" applyFill="1" applyFont="1" applyNumberFormat="1">
      <alignment readingOrder="0" vertical="center"/>
    </xf>
    <xf borderId="29" fillId="0" fontId="4" numFmtId="0" xfId="0" applyAlignment="1" applyBorder="1" applyFont="1">
      <alignment horizontal="center" readingOrder="0" vertical="center"/>
    </xf>
    <xf borderId="32" fillId="9" fontId="6" numFmtId="165" xfId="0" applyAlignment="1" applyBorder="1" applyFill="1" applyFont="1" applyNumberFormat="1">
      <alignment horizontal="right" readingOrder="0" vertical="center"/>
    </xf>
    <xf borderId="29" fillId="0" fontId="4" numFmtId="164" xfId="0" applyAlignment="1" applyBorder="1" applyFont="1" applyNumberFormat="1">
      <alignment horizontal="center" readingOrder="0" vertical="center"/>
    </xf>
    <xf borderId="32" fillId="0" fontId="4" numFmtId="10" xfId="0" applyAlignment="1" applyBorder="1" applyFont="1" applyNumberFormat="1">
      <alignment horizontal="center" readingOrder="0" vertical="center"/>
    </xf>
    <xf borderId="29" fillId="0" fontId="8" numFmtId="0" xfId="0" applyAlignment="1" applyBorder="1" applyFont="1">
      <alignment readingOrder="0" vertical="center"/>
    </xf>
    <xf borderId="33" fillId="0" fontId="7" numFmtId="0" xfId="0" applyBorder="1" applyFont="1"/>
    <xf borderId="34" fillId="0" fontId="8" numFmtId="0" xfId="0" applyAlignment="1" applyBorder="1" applyFont="1">
      <alignment readingOrder="0" vertical="center"/>
    </xf>
    <xf borderId="26" fillId="0" fontId="1" numFmtId="0" xfId="0" applyAlignment="1" applyBorder="1" applyFont="1">
      <alignment horizontal="right" readingOrder="0" vertical="center"/>
    </xf>
    <xf borderId="35" fillId="0" fontId="8" numFmtId="0" xfId="0" applyAlignment="1" applyBorder="1" applyFont="1">
      <alignment readingOrder="0" vertical="center"/>
    </xf>
    <xf borderId="36" fillId="0" fontId="8" numFmtId="0" xfId="0" applyAlignment="1" applyBorder="1" applyFont="1">
      <alignment readingOrder="0" vertical="center"/>
    </xf>
    <xf borderId="37" fillId="0" fontId="1" numFmtId="0" xfId="0" applyAlignment="1" applyBorder="1" applyFont="1">
      <alignment horizontal="right" readingOrder="0" vertical="center"/>
    </xf>
    <xf borderId="6" fillId="0" fontId="4" numFmtId="1" xfId="0" applyAlignment="1" applyBorder="1" applyFont="1" applyNumberFormat="1">
      <alignment horizontal="right" readingOrder="0" vertical="center"/>
    </xf>
    <xf borderId="38" fillId="7" fontId="6" numFmtId="165" xfId="0" applyAlignment="1" applyBorder="1" applyFill="1" applyFont="1" applyNumberFormat="1">
      <alignment readingOrder="0" vertical="center"/>
    </xf>
    <xf borderId="0" fillId="0" fontId="5" numFmtId="9" xfId="0" applyAlignment="1" applyFont="1" applyNumberFormat="1">
      <alignment readingOrder="0" vertical="center"/>
    </xf>
    <xf borderId="5" fillId="0" fontId="5" numFmtId="165" xfId="0" applyAlignment="1" applyBorder="1" applyFont="1" applyNumberFormat="1">
      <alignment readingOrder="0" vertical="center"/>
    </xf>
    <xf borderId="39" fillId="5" fontId="5" numFmtId="165" xfId="0" applyAlignment="1" applyBorder="1" applyFill="1" applyFont="1" applyNumberFormat="1">
      <alignment readingOrder="0" vertical="center"/>
    </xf>
    <xf borderId="0" fillId="0" fontId="4" numFmtId="0" xfId="0" applyAlignment="1" applyFont="1">
      <alignment horizontal="center" readingOrder="0" vertical="center"/>
    </xf>
    <xf borderId="3" fillId="9" fontId="6" numFmtId="165" xfId="0" applyAlignment="1" applyBorder="1" applyFill="1" applyFont="1" applyNumberFormat="1">
      <alignment horizontal="right" readingOrder="0" vertical="center"/>
    </xf>
    <xf borderId="0" fillId="0" fontId="4" numFmtId="164" xfId="0" applyAlignment="1" applyFont="1" applyNumberFormat="1">
      <alignment horizontal="center" readingOrder="0" vertical="center"/>
    </xf>
    <xf borderId="3" fillId="0" fontId="4" numFmtId="10" xfId="0" applyAlignment="1" applyBorder="1" applyFont="1" applyNumberFormat="1">
      <alignment horizontal="center" readingOrder="0" vertical="center"/>
    </xf>
    <xf borderId="0" fillId="0" fontId="8" numFmtId="0" xfId="0" applyAlignment="1" applyFont="1">
      <alignment readingOrder="0" vertical="center"/>
    </xf>
    <xf borderId="2" fillId="0" fontId="7" numFmtId="0" xfId="0" applyBorder="1" applyFont="1"/>
    <xf borderId="40" fillId="0" fontId="8" numFmtId="0" xfId="0" applyAlignment="1" applyBorder="1" applyFont="1">
      <alignment readingOrder="0" vertical="center"/>
    </xf>
    <xf borderId="41" fillId="0" fontId="8" numFmtId="0" xfId="0" applyAlignment="1" applyBorder="1" applyFont="1">
      <alignment readingOrder="0" vertical="center"/>
    </xf>
    <xf borderId="42" fillId="0" fontId="8" numFmtId="0" xfId="0" applyAlignment="1" applyBorder="1" applyFont="1">
      <alignment readingOrder="0" vertical="center"/>
    </xf>
    <xf borderId="43" fillId="0" fontId="1" numFmtId="0" xfId="0" applyAlignment="1" applyBorder="1" applyFont="1">
      <alignment readingOrder="0" vertical="center"/>
    </xf>
    <xf borderId="44" fillId="0" fontId="4" numFmtId="1" xfId="0" applyAlignment="1" applyBorder="1" applyFont="1" applyNumberFormat="1">
      <alignment horizontal="right" readingOrder="0" vertical="center"/>
    </xf>
    <xf borderId="45" fillId="7" fontId="6" numFmtId="165" xfId="0" applyAlignment="1" applyBorder="1" applyFill="1" applyFont="1" applyNumberFormat="1">
      <alignment readingOrder="0" vertical="center"/>
    </xf>
    <xf borderId="12" fillId="0" fontId="5" numFmtId="9" xfId="0" applyAlignment="1" applyBorder="1" applyFont="1" applyNumberFormat="1">
      <alignment readingOrder="0" vertical="center"/>
    </xf>
    <xf borderId="46" fillId="0" fontId="5" numFmtId="165" xfId="0" applyAlignment="1" applyBorder="1" applyFont="1" applyNumberFormat="1">
      <alignment readingOrder="0" vertical="center"/>
    </xf>
    <xf borderId="47" fillId="5" fontId="5" numFmtId="165" xfId="0" applyAlignment="1" applyBorder="1" applyFill="1" applyFont="1" applyNumberFormat="1">
      <alignment readingOrder="0" vertical="center"/>
    </xf>
    <xf borderId="12" fillId="0" fontId="4" numFmtId="0" xfId="0" applyAlignment="1" applyBorder="1" applyFont="1">
      <alignment horizontal="center" readingOrder="0" vertical="center"/>
    </xf>
    <xf borderId="48" fillId="10" fontId="6" numFmtId="165" xfId="0" applyAlignment="1" applyBorder="1" applyFill="1" applyFont="1" applyNumberFormat="1">
      <alignment horizontal="right" readingOrder="0" vertical="center"/>
    </xf>
    <xf borderId="12" fillId="0" fontId="4" numFmtId="164" xfId="0" applyAlignment="1" applyBorder="1" applyFont="1" applyNumberFormat="1">
      <alignment horizontal="center" readingOrder="0" vertical="center"/>
    </xf>
    <xf borderId="48" fillId="0" fontId="4" numFmtId="10" xfId="0" applyAlignment="1" applyBorder="1" applyFont="1" applyNumberFormat="1">
      <alignment horizontal="center" readingOrder="0" vertical="center"/>
    </xf>
    <xf borderId="12" fillId="0" fontId="8" numFmtId="0" xfId="0" applyAlignment="1" applyBorder="1" applyFont="1">
      <alignment readingOrder="0" vertical="center"/>
    </xf>
    <xf borderId="49" fillId="0" fontId="7" numFmtId="0" xfId="0" applyBorder="1" applyFont="1"/>
    <xf borderId="50" fillId="0" fontId="8" numFmtId="0" xfId="0" applyAlignment="1" applyBorder="1" applyFont="1">
      <alignment readingOrder="0" vertical="center"/>
    </xf>
    <xf borderId="51" fillId="0" fontId="8" numFmtId="0" xfId="0" applyAlignment="1" applyBorder="1" applyFont="1">
      <alignment readingOrder="0" vertical="center"/>
    </xf>
    <xf borderId="52" fillId="0" fontId="8" numFmtId="0" xfId="0" applyAlignment="1" applyBorder="1" applyFont="1">
      <alignment readingOrder="0" vertical="center"/>
    </xf>
    <xf borderId="53" fillId="0" fontId="1" numFmtId="0" xfId="0" applyAlignment="1" applyBorder="1" applyFont="1">
      <alignment readingOrder="0" vertical="center"/>
    </xf>
    <xf borderId="54" fillId="0" fontId="4" numFmtId="1" xfId="0" applyAlignment="1" applyBorder="1" applyFont="1" applyNumberFormat="1">
      <alignment horizontal="right" readingOrder="0" vertical="center"/>
    </xf>
    <xf borderId="55" fillId="7" fontId="6" numFmtId="165" xfId="0" applyAlignment="1" applyBorder="1" applyFill="1" applyFont="1" applyNumberFormat="1">
      <alignment readingOrder="0" vertical="center"/>
    </xf>
    <xf borderId="56" fillId="0" fontId="5" numFmtId="9" xfId="0" applyAlignment="1" applyBorder="1" applyFont="1" applyNumberFormat="1">
      <alignment readingOrder="0" vertical="center"/>
    </xf>
    <xf borderId="57" fillId="0" fontId="5" numFmtId="165" xfId="0" applyAlignment="1" applyBorder="1" applyFont="1" applyNumberFormat="1">
      <alignment readingOrder="0" vertical="center"/>
    </xf>
    <xf borderId="56" fillId="0" fontId="4" numFmtId="0" xfId="0" applyAlignment="1" applyBorder="1" applyFont="1">
      <alignment horizontal="center" readingOrder="0" vertical="center"/>
    </xf>
    <xf borderId="58" fillId="10" fontId="6" numFmtId="165" xfId="0" applyAlignment="1" applyBorder="1" applyFill="1" applyFont="1" applyNumberFormat="1">
      <alignment horizontal="right" readingOrder="0" vertical="center"/>
    </xf>
    <xf borderId="56" fillId="0" fontId="4" numFmtId="164" xfId="0" applyAlignment="1" applyBorder="1" applyFont="1" applyNumberFormat="1">
      <alignment horizontal="center" readingOrder="0" vertical="center"/>
    </xf>
    <xf borderId="58" fillId="0" fontId="4" numFmtId="10" xfId="0" applyAlignment="1" applyBorder="1" applyFont="1" applyNumberFormat="1">
      <alignment horizontal="center" readingOrder="0" vertical="center"/>
    </xf>
    <xf borderId="56" fillId="0" fontId="8" numFmtId="0" xfId="0" applyAlignment="1" applyBorder="1" applyFont="1">
      <alignment readingOrder="0" vertical="center"/>
    </xf>
    <xf borderId="59" fillId="0" fontId="7" numFmtId="0" xfId="0" applyBorder="1" applyFont="1"/>
    <xf borderId="60" fillId="0" fontId="8" numFmtId="0" xfId="0" applyAlignment="1" applyBorder="1" applyFont="1">
      <alignment readingOrder="0" vertical="center"/>
    </xf>
    <xf borderId="58" fillId="9" fontId="6" numFmtId="165" xfId="0" applyAlignment="1" applyBorder="1" applyFill="1" applyFont="1" applyNumberFormat="1">
      <alignment horizontal="right" readingOrder="0" vertical="center"/>
    </xf>
    <xf borderId="61" fillId="0" fontId="8" numFmtId="0" xfId="0" applyAlignment="1" applyBorder="1" applyFont="1">
      <alignment readingOrder="0" vertical="center"/>
    </xf>
    <xf borderId="62" fillId="0" fontId="8" numFmtId="0" xfId="0" applyAlignment="1" applyBorder="1" applyFont="1">
      <alignment readingOrder="0" vertical="center"/>
    </xf>
    <xf borderId="63" fillId="0" fontId="1" numFmtId="0" xfId="0" applyAlignment="1" applyBorder="1" applyFont="1">
      <alignment readingOrder="0" vertical="center"/>
    </xf>
    <xf borderId="64" fillId="0" fontId="4" numFmtId="1" xfId="0" applyAlignment="1" applyBorder="1" applyFont="1" applyNumberFormat="1">
      <alignment horizontal="right" readingOrder="0" vertical="center"/>
    </xf>
    <xf borderId="65" fillId="7" fontId="6" numFmtId="165" xfId="0" applyAlignment="1" applyBorder="1" applyFill="1" applyFont="1" applyNumberFormat="1">
      <alignment readingOrder="0" vertical="center"/>
    </xf>
    <xf borderId="66" fillId="0" fontId="5" numFmtId="9" xfId="0" applyAlignment="1" applyBorder="1" applyFont="1" applyNumberFormat="1">
      <alignment readingOrder="0" vertical="center"/>
    </xf>
    <xf borderId="67" fillId="0" fontId="5" numFmtId="165" xfId="0" applyAlignment="1" applyBorder="1" applyFont="1" applyNumberFormat="1">
      <alignment readingOrder="0" vertical="center"/>
    </xf>
    <xf borderId="68" fillId="5" fontId="5" numFmtId="165" xfId="0" applyAlignment="1" applyBorder="1" applyFill="1" applyFont="1" applyNumberFormat="1">
      <alignment readingOrder="0" vertical="center"/>
    </xf>
    <xf borderId="66" fillId="0" fontId="4" numFmtId="0" xfId="0" applyAlignment="1" applyBorder="1" applyFont="1">
      <alignment horizontal="center" readingOrder="0" vertical="center"/>
    </xf>
    <xf borderId="69" fillId="9" fontId="6" numFmtId="165" xfId="0" applyAlignment="1" applyBorder="1" applyFill="1" applyFont="1" applyNumberFormat="1">
      <alignment horizontal="right" readingOrder="0" vertical="center"/>
    </xf>
    <xf borderId="66" fillId="0" fontId="4" numFmtId="164" xfId="0" applyAlignment="1" applyBorder="1" applyFont="1" applyNumberFormat="1">
      <alignment horizontal="center" readingOrder="0" vertical="center"/>
    </xf>
    <xf borderId="69" fillId="0" fontId="4" numFmtId="10" xfId="0" applyAlignment="1" applyBorder="1" applyFont="1" applyNumberFormat="1">
      <alignment horizontal="center" readingOrder="0" vertical="center"/>
    </xf>
    <xf borderId="66" fillId="0" fontId="8" numFmtId="0" xfId="0" applyAlignment="1" applyBorder="1" applyFont="1">
      <alignment readingOrder="0" vertical="center"/>
    </xf>
    <xf borderId="70" fillId="0" fontId="7" numFmtId="0" xfId="0" applyBorder="1" applyFont="1"/>
    <xf borderId="71" fillId="0" fontId="8" numFmtId="0" xfId="0" applyAlignment="1" applyBorder="1" applyFont="1">
      <alignment readingOrder="0" vertical="center"/>
    </xf>
    <xf borderId="72" fillId="0" fontId="8" numFmtId="0" xfId="0" applyAlignment="1" applyBorder="1" applyFont="1">
      <alignment readingOrder="0" vertical="center"/>
    </xf>
    <xf borderId="73" fillId="0" fontId="8" numFmtId="0" xfId="0" applyAlignment="1" applyBorder="1" applyFont="1">
      <alignment readingOrder="0" vertical="center"/>
    </xf>
    <xf borderId="74" fillId="0" fontId="1" numFmtId="0" xfId="0" applyAlignment="1" applyBorder="1" applyFont="1">
      <alignment readingOrder="0" vertical="center"/>
    </xf>
    <xf borderId="75" fillId="0" fontId="4" numFmtId="1" xfId="0" applyAlignment="1" applyBorder="1" applyFont="1" applyNumberFormat="1">
      <alignment horizontal="right" readingOrder="0" vertical="center"/>
    </xf>
    <xf borderId="76" fillId="7" fontId="6" numFmtId="165" xfId="0" applyAlignment="1" applyBorder="1" applyFill="1" applyFont="1" applyNumberFormat="1">
      <alignment readingOrder="0" vertical="center"/>
    </xf>
    <xf borderId="77" fillId="0" fontId="5" numFmtId="9" xfId="0" applyAlignment="1" applyBorder="1" applyFont="1" applyNumberFormat="1">
      <alignment readingOrder="0" vertical="center"/>
    </xf>
    <xf borderId="78" fillId="0" fontId="5" numFmtId="165" xfId="0" applyAlignment="1" applyBorder="1" applyFont="1" applyNumberFormat="1">
      <alignment readingOrder="0" vertical="center"/>
    </xf>
    <xf borderId="79" fillId="5" fontId="6" numFmtId="165" xfId="0" applyAlignment="1" applyBorder="1" applyFill="1" applyFont="1" applyNumberFormat="1">
      <alignment readingOrder="0" vertical="center"/>
    </xf>
    <xf borderId="77" fillId="0" fontId="4" numFmtId="0" xfId="0" applyAlignment="1" applyBorder="1" applyFont="1">
      <alignment horizontal="center" readingOrder="0" vertical="center"/>
    </xf>
    <xf borderId="80" fillId="9" fontId="6" numFmtId="165" xfId="0" applyAlignment="1" applyBorder="1" applyFill="1" applyFont="1" applyNumberFormat="1">
      <alignment horizontal="right" readingOrder="0" vertical="center"/>
    </xf>
    <xf borderId="77" fillId="0" fontId="4" numFmtId="164" xfId="0" applyAlignment="1" applyBorder="1" applyFont="1" applyNumberFormat="1">
      <alignment horizontal="center" readingOrder="0" vertical="center"/>
    </xf>
    <xf borderId="80" fillId="0" fontId="4" numFmtId="10" xfId="0" applyAlignment="1" applyBorder="1" applyFont="1" applyNumberFormat="1">
      <alignment horizontal="center" readingOrder="0" vertical="center"/>
    </xf>
    <xf borderId="77" fillId="0" fontId="8" numFmtId="0" xfId="0" applyAlignment="1" applyBorder="1" applyFont="1">
      <alignment readingOrder="0" vertical="center"/>
    </xf>
    <xf borderId="81" fillId="0" fontId="7" numFmtId="0" xfId="0" applyBorder="1" applyFont="1"/>
    <xf borderId="82" fillId="0" fontId="8" numFmtId="0" xfId="0" applyAlignment="1" applyBorder="1" applyFont="1">
      <alignment readingOrder="0" vertical="center"/>
    </xf>
    <xf borderId="53" fillId="0" fontId="1" numFmtId="0" xfId="0" applyAlignment="1" applyBorder="1" applyFont="1">
      <alignment horizontal="right" readingOrder="0" vertical="center"/>
    </xf>
    <xf borderId="47" fillId="5" fontId="6" numFmtId="165" xfId="0" applyAlignment="1" applyBorder="1" applyFill="1" applyFont="1" applyNumberFormat="1">
      <alignment readingOrder="0" vertical="center"/>
    </xf>
    <xf borderId="53" fillId="11" fontId="1" numFmtId="0" xfId="0" applyAlignment="1" applyBorder="1" applyFill="1" applyFont="1">
      <alignment readingOrder="0" vertical="center"/>
    </xf>
    <xf borderId="63" fillId="0" fontId="1" numFmtId="0" xfId="0" applyAlignment="1" applyBorder="1" applyFont="1">
      <alignment horizontal="right" readingOrder="0" vertical="center"/>
    </xf>
    <xf borderId="68" fillId="5" fontId="6" numFmtId="165" xfId="0" applyAlignment="1" applyBorder="1" applyFill="1" applyFont="1" applyNumberFormat="1">
      <alignment readingOrder="0" vertical="center"/>
    </xf>
    <xf borderId="75" fillId="0" fontId="6" numFmtId="1" xfId="0" applyAlignment="1" applyBorder="1" applyFont="1" applyNumberFormat="1">
      <alignment horizontal="right" readingOrder="0" vertical="center"/>
    </xf>
    <xf borderId="80" fillId="0" fontId="4" numFmtId="0" xfId="0" applyAlignment="1" applyBorder="1" applyFont="1">
      <alignment horizontal="center" readingOrder="0" vertical="center"/>
    </xf>
    <xf borderId="58" fillId="0" fontId="4" numFmtId="0" xfId="0" applyAlignment="1" applyBorder="1" applyFont="1">
      <alignment horizontal="center" readingOrder="0" vertical="center"/>
    </xf>
    <xf borderId="54" fillId="0" fontId="6" numFmtId="1" xfId="0" applyAlignment="1" applyBorder="1" applyFont="1" applyNumberFormat="1">
      <alignment horizontal="right" readingOrder="0" vertical="center"/>
    </xf>
    <xf borderId="56" fillId="0" fontId="9" numFmtId="0" xfId="0" applyAlignment="1" applyBorder="1" applyFont="1">
      <alignment readingOrder="0" vertical="center"/>
    </xf>
    <xf borderId="55" fillId="7" fontId="5" numFmtId="165" xfId="0" applyAlignment="1" applyBorder="1" applyFill="1" applyFont="1" applyNumberFormat="1">
      <alignment readingOrder="0" vertical="center"/>
    </xf>
    <xf borderId="56" fillId="0" fontId="10" numFmtId="0" xfId="0" applyAlignment="1" applyBorder="1" applyFont="1">
      <alignment readingOrder="0" vertical="center"/>
    </xf>
    <xf borderId="69" fillId="0" fontId="4" numFmtId="0" xfId="0" applyAlignment="1" applyBorder="1" applyFont="1">
      <alignment horizontal="center" readingOrder="0" vertical="center"/>
    </xf>
    <xf borderId="1" fillId="5" fontId="6" numFmtId="166" xfId="0" applyAlignment="1" applyBorder="1" applyFill="1" applyFont="1" applyNumberFormat="1">
      <alignment readingOrder="0" vertical="center"/>
    </xf>
    <xf borderId="1" fillId="8" fontId="5" numFmtId="166" xfId="0" applyAlignment="1" applyBorder="1" applyFill="1" applyFont="1" applyNumberFormat="1">
      <alignment readingOrder="0" vertical="center"/>
    </xf>
    <xf borderId="6" fillId="5" fontId="5" numFmtId="166" xfId="0" applyAlignment="1" applyBorder="1" applyFill="1" applyFont="1" applyNumberFormat="1">
      <alignment readingOrder="0" vertical="center"/>
    </xf>
    <xf borderId="6" fillId="0" fontId="8" numFmtId="166" xfId="0" applyAlignment="1" applyBorder="1" applyFont="1" applyNumberFormat="1">
      <alignment vertical="center"/>
    </xf>
    <xf borderId="83" fillId="0" fontId="8" numFmtId="0" xfId="0" applyAlignment="1" applyBorder="1" applyFont="1">
      <alignment readingOrder="0" vertical="center"/>
    </xf>
    <xf borderId="84" fillId="0" fontId="8" numFmtId="0" xfId="0" applyAlignment="1" applyBorder="1" applyFont="1">
      <alignment readingOrder="0" vertical="center"/>
    </xf>
    <xf borderId="85" fillId="0" fontId="5" numFmtId="9" xfId="0" applyAlignment="1" applyBorder="1" applyFont="1" applyNumberFormat="1">
      <alignment readingOrder="0" vertical="center"/>
    </xf>
    <xf borderId="32" fillId="0" fontId="4" numFmtId="0" xfId="0" applyAlignment="1" applyBorder="1" applyFont="1">
      <alignment horizontal="center" readingOrder="0" vertical="center"/>
    </xf>
    <xf borderId="86" fillId="0" fontId="8" numFmtId="0" xfId="0" applyAlignment="1" applyBorder="1" applyFont="1">
      <alignment readingOrder="0" vertical="center"/>
    </xf>
    <xf borderId="87" fillId="0" fontId="8" numFmtId="0" xfId="0" applyAlignment="1" applyBorder="1" applyFont="1">
      <alignment readingOrder="0" vertical="center"/>
    </xf>
    <xf borderId="88" fillId="0" fontId="1" numFmtId="0" xfId="0" applyAlignment="1" applyBorder="1" applyFont="1">
      <alignment horizontal="right" readingOrder="0" vertical="center"/>
    </xf>
    <xf borderId="89" fillId="7" fontId="6" numFmtId="165" xfId="0" applyAlignment="1" applyBorder="1" applyFill="1" applyFont="1" applyNumberFormat="1">
      <alignment readingOrder="0" vertical="center"/>
    </xf>
    <xf borderId="7" fillId="0" fontId="5" numFmtId="9" xfId="0" applyAlignment="1" applyBorder="1" applyFont="1" applyNumberFormat="1">
      <alignment readingOrder="0" vertical="center"/>
    </xf>
    <xf borderId="90" fillId="0" fontId="5" numFmtId="165" xfId="0" applyAlignment="1" applyBorder="1" applyFont="1" applyNumberFormat="1">
      <alignment readingOrder="0" vertical="center"/>
    </xf>
    <xf borderId="91" fillId="5" fontId="5" numFmtId="165" xfId="0" applyAlignment="1" applyBorder="1" applyFill="1" applyFont="1" applyNumberFormat="1">
      <alignment readingOrder="0" vertical="center"/>
    </xf>
    <xf borderId="92" fillId="0" fontId="4" numFmtId="0" xfId="0" applyAlignment="1" applyBorder="1" applyFont="1">
      <alignment horizontal="center" readingOrder="0" vertical="center"/>
    </xf>
    <xf borderId="93" fillId="9" fontId="6" numFmtId="165" xfId="0" applyAlignment="1" applyBorder="1" applyFill="1" applyFont="1" applyNumberFormat="1">
      <alignment horizontal="right" readingOrder="0" vertical="center"/>
    </xf>
    <xf borderId="92" fillId="0" fontId="4" numFmtId="164" xfId="0" applyAlignment="1" applyBorder="1" applyFont="1" applyNumberFormat="1">
      <alignment horizontal="center" readingOrder="0" vertical="center"/>
    </xf>
    <xf borderId="93" fillId="0" fontId="4" numFmtId="0" xfId="0" applyAlignment="1" applyBorder="1" applyFont="1">
      <alignment horizontal="center" readingOrder="0" vertical="center"/>
    </xf>
    <xf borderId="92" fillId="0" fontId="8" numFmtId="0" xfId="0" applyAlignment="1" applyBorder="1" applyFont="1">
      <alignment readingOrder="0" vertical="center"/>
    </xf>
    <xf borderId="94" fillId="0" fontId="7" numFmtId="0" xfId="0" applyBorder="1" applyFont="1"/>
    <xf borderId="95" fillId="0" fontId="8" numFmtId="0" xfId="0" applyAlignment="1" applyBorder="1" applyFont="1">
      <alignment readingOrder="0" vertical="center"/>
    </xf>
    <xf borderId="29" fillId="0" fontId="7" numFmtId="0" xfId="0" applyBorder="1" applyFont="1"/>
    <xf borderId="85" fillId="0" fontId="7" numFmtId="0" xfId="0" applyBorder="1" applyFont="1"/>
    <xf borderId="96" fillId="0" fontId="1" numFmtId="0" xfId="0" applyAlignment="1" applyBorder="1" applyFont="1">
      <alignment readingOrder="0" vertical="center"/>
    </xf>
    <xf borderId="97" fillId="0" fontId="4" numFmtId="1" xfId="0" applyAlignment="1" applyBorder="1" applyFont="1" applyNumberFormat="1">
      <alignment horizontal="right" readingOrder="0" vertical="center"/>
    </xf>
    <xf borderId="98" fillId="7" fontId="6" numFmtId="165" xfId="0" applyAlignment="1" applyBorder="1" applyFill="1" applyFont="1" applyNumberFormat="1">
      <alignment readingOrder="0" vertical="center"/>
    </xf>
    <xf borderId="99" fillId="0" fontId="5" numFmtId="165" xfId="0" applyAlignment="1" applyBorder="1" applyFont="1" applyNumberFormat="1">
      <alignment readingOrder="0" vertical="center"/>
    </xf>
    <xf borderId="100" fillId="5" fontId="5" numFmtId="165" xfId="0" applyAlignment="1" applyBorder="1" applyFill="1" applyFont="1" applyNumberFormat="1">
      <alignment readingOrder="0" vertical="center"/>
    </xf>
    <xf borderId="85" fillId="0" fontId="4" numFmtId="0" xfId="0" applyAlignment="1" applyBorder="1" applyFont="1">
      <alignment horizontal="center" readingOrder="0" vertical="center"/>
    </xf>
    <xf borderId="101" fillId="9" fontId="6" numFmtId="165" xfId="0" applyAlignment="1" applyBorder="1" applyFill="1" applyFont="1" applyNumberFormat="1">
      <alignment horizontal="right" readingOrder="0" vertical="center"/>
    </xf>
    <xf borderId="85" fillId="0" fontId="4" numFmtId="164" xfId="0" applyAlignment="1" applyBorder="1" applyFont="1" applyNumberFormat="1">
      <alignment horizontal="center" readingOrder="0" vertical="center"/>
    </xf>
    <xf borderId="101" fillId="0" fontId="4" numFmtId="10" xfId="0" applyAlignment="1" applyBorder="1" applyFont="1" applyNumberFormat="1">
      <alignment horizontal="center" readingOrder="0" vertical="center"/>
    </xf>
    <xf borderId="85" fillId="0" fontId="8" numFmtId="0" xfId="0" applyAlignment="1" applyBorder="1" applyFont="1">
      <alignment readingOrder="0" vertical="center"/>
    </xf>
    <xf borderId="102" fillId="0" fontId="7" numFmtId="0" xfId="0" applyBorder="1" applyFont="1"/>
    <xf borderId="103" fillId="0" fontId="8" numFmtId="0" xfId="0" applyAlignment="1" applyBorder="1" applyFont="1">
      <alignment readingOrder="0" vertical="center"/>
    </xf>
    <xf borderId="0" fillId="12" fontId="11" numFmtId="0" xfId="0" applyAlignment="1" applyFill="1" applyFont="1">
      <alignment horizontal="center" readingOrder="0" vertical="bottom"/>
    </xf>
    <xf borderId="0" fillId="12" fontId="11" numFmtId="0" xfId="0" applyAlignment="1" applyFill="1" applyFont="1">
      <alignment horizontal="center" readingOrder="0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left" readingOrder="0" vertical="bottom"/>
    </xf>
    <xf borderId="0" fillId="0" fontId="12" numFmtId="0" xfId="0" applyAlignment="1" applyFont="1">
      <alignment readingOrder="0"/>
    </xf>
    <xf borderId="0" fillId="0" fontId="12" numFmtId="0" xfId="0" applyFont="1"/>
    <xf borderId="0" fillId="10" fontId="12" numFmtId="0" xfId="0" applyAlignment="1" applyFill="1" applyFont="1">
      <alignment horizontal="left" readingOrder="0" vertical="bottom"/>
    </xf>
  </cellXfs>
  <cellStyles count="1">
    <cellStyle xfId="0" name="Normal" builtinId="0"/>
  </cellStyles>
  <dxfs count="1">
    <dxf>
      <font>
        <u/>
        <color rgb="FF85200C"/>
      </font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1475" cy="1333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1475" cy="1333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1475" cy="1333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a Parròquia Menjar i Beure" id="{ba0f7f9f-743d-4d06-8a92-e088b0e5d911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" dT="2020-03-21T13:36:15.00" personId="{ba0f7f9f-743d-4d06-8a92-e088b0e5d911}" id="{aa8134a3-2b58-4381-90c9-7dcd53201f94}" done="0">
    <x18tc:text xml:space="preserve">Hi que posar una quantitat, mínim 1.</x18tc:text>
  </x18tc:threadedComment>
  <x18tc:threadedComment ref="J2" dT="2020-03-21T13:37:12.00" personId="{ba0f7f9f-743d-4d06-8a92-e088b0e5d911}" id="{e30a4e05-622f-43c8-81c5-4926e1a3edc9}" done="0">
    <x18tc:text xml:space="preserve">Unitats per pack. Mínim, 1</x18tc:text>
  </x18tc:threadedComment>
  <x18tc:threadedComment ref="F1" dT="2020-03-21T13:28:25.00" personId="{ba0f7f9f-743d-4d06-8a92-e088b0e5d911}" id="{242f657b-63b2-4325-9c57-642c8a607f4d}" done="0">
    <x18tc:text xml:space="preserve">Calculadora de Packs.</x18tc:text>
  </x18tc:threadedComment>
  <x18tc:threadedComment ref="I1" dT="2020-03-21T13:40:09.00" personId="{ba0f7f9f-743d-4d06-8a92-e088b0e5d911}" id="{30876912-68ae-46b2-8398-9468b682af52}" done="0">
    <x18tc:text xml:space="preserve">Preu sense IVA. Per Unitat.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todogin.com/licores/649-anis-seco-cazalla-cervero-1l.html" TargetMode="External"/><Relationship Id="rId5" Type="http://schemas.openxmlformats.org/officeDocument/2006/relationships/hyperlink" Target="http://palomatenis.es/shop/index.php?route=product/product&amp;product_id=42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 outlineLevelCol="1" outlineLevelRow="1"/>
  <cols>
    <col customWidth="1" min="1" max="1" width="4.88"/>
    <col customWidth="1" min="2" max="2" width="13.88"/>
    <col customWidth="1" min="3" max="3" width="22.88"/>
    <col customWidth="1" min="4" max="4" width="5.0"/>
    <col customWidth="1" min="5" max="5" width="7.63"/>
    <col customWidth="1" min="6" max="6" width="5.88" outlineLevel="1"/>
    <col customWidth="1" min="7" max="9" width="7.63" outlineLevel="1"/>
    <col customWidth="1" min="10" max="11" width="6.38" outlineLevel="1"/>
    <col customWidth="1" min="12" max="13" width="7.63" outlineLevel="1"/>
    <col customWidth="1" min="14" max="15" width="8.88" outlineLevel="1"/>
    <col customWidth="1" min="16" max="16" width="16.38" outlineLevel="1"/>
  </cols>
  <sheetData>
    <row r="1" outlineLevel="1">
      <c r="A1" s="1"/>
      <c r="C1" s="2" t="s">
        <v>0</v>
      </c>
      <c r="E1" s="3"/>
      <c r="F1" s="4" t="s">
        <v>1</v>
      </c>
      <c r="G1" s="5" t="s">
        <v>2</v>
      </c>
      <c r="H1" s="5" t="s">
        <v>3</v>
      </c>
      <c r="I1" s="6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7" t="s">
        <v>9</v>
      </c>
      <c r="P1" s="5" t="s">
        <v>7</v>
      </c>
    </row>
    <row r="2" outlineLevel="1">
      <c r="E2" s="8">
        <v>0.21</v>
      </c>
      <c r="F2" s="8">
        <v>0.052</v>
      </c>
      <c r="G2" s="9">
        <v>1.0</v>
      </c>
      <c r="H2" s="10">
        <f>I2+(I2*L2)+(I2*M2)</f>
        <v>6.05</v>
      </c>
      <c r="I2" s="11">
        <v>5.0</v>
      </c>
      <c r="J2" s="12">
        <v>5.0</v>
      </c>
      <c r="K2" s="13">
        <f>G2*J2*I2</f>
        <v>25</v>
      </c>
      <c r="L2" s="14">
        <v>0.21</v>
      </c>
      <c r="M2" s="15">
        <v>0.0</v>
      </c>
      <c r="N2" s="16" t="s">
        <v>10</v>
      </c>
      <c r="O2" s="17">
        <v>1.21</v>
      </c>
      <c r="P2" s="18">
        <v>0.21</v>
      </c>
    </row>
    <row r="3" ht="15.75" customHeight="1" outlineLevel="1">
      <c r="A3" s="19"/>
      <c r="B3" s="19"/>
      <c r="C3" s="19"/>
      <c r="D3" s="19"/>
      <c r="E3" s="8">
        <v>0.1</v>
      </c>
      <c r="F3" s="8">
        <v>0.014</v>
      </c>
      <c r="G3" s="20"/>
      <c r="H3" s="10">
        <f>I3+(I3*L2)+(I3*M2)</f>
        <v>0</v>
      </c>
      <c r="I3" s="21">
        <f>K3/(G2*J2)</f>
        <v>0</v>
      </c>
      <c r="J3" s="22"/>
      <c r="K3" s="23"/>
      <c r="L3" s="24"/>
      <c r="M3" s="25"/>
      <c r="N3" s="26" t="s">
        <v>4</v>
      </c>
      <c r="O3" s="27">
        <f>O2/E4</f>
        <v>1</v>
      </c>
      <c r="P3" s="28">
        <f>O3</f>
        <v>1</v>
      </c>
    </row>
    <row r="4" ht="5.25" customHeight="1" outlineLevel="1">
      <c r="A4" s="29"/>
      <c r="B4" s="29"/>
      <c r="C4" s="30"/>
      <c r="D4" s="30"/>
      <c r="E4" s="31">
        <f>IFS($P$2=21%,1.21,$P$2=10%,1.1)</f>
        <v>1.21</v>
      </c>
      <c r="F4" s="31">
        <v>0.0</v>
      </c>
      <c r="G4" s="32"/>
      <c r="H4" s="32"/>
      <c r="I4" s="32"/>
      <c r="J4" s="32"/>
      <c r="K4" s="32"/>
      <c r="L4" s="32"/>
      <c r="M4" s="32"/>
      <c r="N4" s="32"/>
      <c r="O4" s="32"/>
      <c r="P4" s="32"/>
    </row>
    <row r="5">
      <c r="A5" s="33" t="s">
        <v>11</v>
      </c>
      <c r="B5" s="34"/>
      <c r="C5" s="35" t="s">
        <v>0</v>
      </c>
      <c r="D5" s="36" t="s">
        <v>12</v>
      </c>
      <c r="E5" s="37" t="s">
        <v>10</v>
      </c>
      <c r="F5" s="38" t="s">
        <v>13</v>
      </c>
      <c r="G5" s="39"/>
      <c r="H5" s="40" t="s">
        <v>14</v>
      </c>
      <c r="I5" s="41" t="s">
        <v>15</v>
      </c>
      <c r="J5" s="42" t="s">
        <v>16</v>
      </c>
      <c r="K5" s="36" t="s">
        <v>17</v>
      </c>
      <c r="L5" s="43" t="s">
        <v>7</v>
      </c>
      <c r="M5" s="44" t="s">
        <v>18</v>
      </c>
      <c r="N5" s="43" t="s">
        <v>19</v>
      </c>
      <c r="O5" s="45"/>
      <c r="P5" s="43" t="s">
        <v>20</v>
      </c>
    </row>
    <row r="6">
      <c r="A6" s="36" t="s">
        <v>21</v>
      </c>
      <c r="B6" s="36" t="s">
        <v>22</v>
      </c>
      <c r="C6" s="36" t="s">
        <v>23</v>
      </c>
      <c r="D6" s="46"/>
      <c r="E6" s="47"/>
      <c r="F6" s="48" t="s">
        <v>24</v>
      </c>
      <c r="G6" s="36" t="s">
        <v>25</v>
      </c>
      <c r="H6" s="40" t="s">
        <v>26</v>
      </c>
      <c r="I6" s="49" t="s">
        <v>27</v>
      </c>
      <c r="J6" s="42" t="s">
        <v>28</v>
      </c>
      <c r="K6" s="36" t="s">
        <v>28</v>
      </c>
      <c r="L6" s="50"/>
      <c r="M6" s="44" t="s">
        <v>8</v>
      </c>
      <c r="N6" s="50"/>
      <c r="O6" s="45"/>
      <c r="P6" s="50"/>
    </row>
    <row r="7">
      <c r="A7" s="51" t="s">
        <v>29</v>
      </c>
      <c r="B7" s="52" t="s">
        <v>30</v>
      </c>
      <c r="C7" s="53" t="s">
        <v>31</v>
      </c>
      <c r="D7" s="54">
        <v>15.0</v>
      </c>
      <c r="E7" s="55">
        <v>1.3</v>
      </c>
      <c r="F7" s="56">
        <f t="shared" ref="F7:F105" si="1">G7/E7</f>
        <v>0.6572307692</v>
      </c>
      <c r="G7" s="57">
        <f t="shared" ref="G7:G320" si="2">E7-H7</f>
        <v>0.8544</v>
      </c>
      <c r="H7" s="57">
        <f t="shared" ref="H7:H320" si="3">I7+(I7*L7)+(I7*M7)</f>
        <v>0.4456</v>
      </c>
      <c r="I7" s="58">
        <f t="shared" ref="I7:I50" si="4">K7/J7</f>
        <v>0.4</v>
      </c>
      <c r="J7" s="59">
        <v>1.0</v>
      </c>
      <c r="K7" s="60">
        <v>0.4</v>
      </c>
      <c r="L7" s="61">
        <v>0.1</v>
      </c>
      <c r="M7" s="62">
        <v>0.014</v>
      </c>
      <c r="N7" s="63"/>
      <c r="O7" s="64"/>
      <c r="P7" s="65"/>
    </row>
    <row r="8">
      <c r="A8" s="51" t="s">
        <v>29</v>
      </c>
      <c r="B8" s="52" t="s">
        <v>30</v>
      </c>
      <c r="C8" s="53" t="s">
        <v>32</v>
      </c>
      <c r="D8" s="54">
        <v>15.0</v>
      </c>
      <c r="E8" s="55">
        <v>1.3</v>
      </c>
      <c r="F8" s="56">
        <f t="shared" si="1"/>
        <v>0.6572307692</v>
      </c>
      <c r="G8" s="57">
        <f t="shared" si="2"/>
        <v>0.8544</v>
      </c>
      <c r="H8" s="57">
        <f t="shared" si="3"/>
        <v>0.4456</v>
      </c>
      <c r="I8" s="58">
        <f t="shared" si="4"/>
        <v>0.4</v>
      </c>
      <c r="J8" s="59">
        <v>1.0</v>
      </c>
      <c r="K8" s="60">
        <v>0.4</v>
      </c>
      <c r="L8" s="61">
        <v>0.1</v>
      </c>
      <c r="M8" s="62">
        <v>0.014</v>
      </c>
      <c r="N8" s="63"/>
      <c r="O8" s="64"/>
      <c r="P8" s="65"/>
    </row>
    <row r="9">
      <c r="A9" s="51" t="s">
        <v>29</v>
      </c>
      <c r="B9" s="52" t="s">
        <v>30</v>
      </c>
      <c r="C9" s="53" t="s">
        <v>33</v>
      </c>
      <c r="D9" s="54">
        <v>15.0</v>
      </c>
      <c r="E9" s="55">
        <v>1.0</v>
      </c>
      <c r="F9" s="56">
        <f t="shared" si="1"/>
        <v>0.5544</v>
      </c>
      <c r="G9" s="57">
        <f t="shared" si="2"/>
        <v>0.5544</v>
      </c>
      <c r="H9" s="57">
        <f t="shared" si="3"/>
        <v>0.4456</v>
      </c>
      <c r="I9" s="58">
        <f t="shared" si="4"/>
        <v>0.4</v>
      </c>
      <c r="J9" s="59">
        <v>1.0</v>
      </c>
      <c r="K9" s="60">
        <v>0.4</v>
      </c>
      <c r="L9" s="61">
        <v>0.1</v>
      </c>
      <c r="M9" s="62">
        <v>0.014</v>
      </c>
      <c r="N9" s="63"/>
      <c r="O9" s="64"/>
      <c r="P9" s="65"/>
    </row>
    <row r="10">
      <c r="A10" s="51" t="s">
        <v>29</v>
      </c>
      <c r="B10" s="52" t="s">
        <v>30</v>
      </c>
      <c r="C10" s="53" t="s">
        <v>34</v>
      </c>
      <c r="D10" s="54">
        <v>15.0</v>
      </c>
      <c r="E10" s="55">
        <v>1.5</v>
      </c>
      <c r="F10" s="56">
        <f t="shared" si="1"/>
        <v>0.7029333333</v>
      </c>
      <c r="G10" s="57">
        <f t="shared" si="2"/>
        <v>1.0544</v>
      </c>
      <c r="H10" s="57">
        <f t="shared" si="3"/>
        <v>0.4456</v>
      </c>
      <c r="I10" s="58">
        <f t="shared" si="4"/>
        <v>0.4</v>
      </c>
      <c r="J10" s="59">
        <v>1.0</v>
      </c>
      <c r="K10" s="60">
        <v>0.4</v>
      </c>
      <c r="L10" s="61">
        <v>0.1</v>
      </c>
      <c r="M10" s="62">
        <v>0.014</v>
      </c>
      <c r="N10" s="63"/>
      <c r="O10" s="64"/>
      <c r="P10" s="65"/>
    </row>
    <row r="11">
      <c r="A11" s="51" t="s">
        <v>29</v>
      </c>
      <c r="B11" s="52" t="s">
        <v>30</v>
      </c>
      <c r="C11" s="53" t="s">
        <v>35</v>
      </c>
      <c r="D11" s="54">
        <v>10.0</v>
      </c>
      <c r="E11" s="55">
        <v>1.0</v>
      </c>
      <c r="F11" s="56">
        <f t="shared" si="1"/>
        <v>0.5544</v>
      </c>
      <c r="G11" s="57">
        <f t="shared" si="2"/>
        <v>0.5544</v>
      </c>
      <c r="H11" s="57">
        <f t="shared" si="3"/>
        <v>0.4456</v>
      </c>
      <c r="I11" s="58">
        <f t="shared" si="4"/>
        <v>0.4</v>
      </c>
      <c r="J11" s="59">
        <v>1.0</v>
      </c>
      <c r="K11" s="60">
        <v>0.4</v>
      </c>
      <c r="L11" s="61">
        <v>0.1</v>
      </c>
      <c r="M11" s="62">
        <v>0.014</v>
      </c>
      <c r="N11" s="63"/>
      <c r="O11" s="64"/>
      <c r="P11" s="65"/>
    </row>
    <row r="12">
      <c r="A12" s="51" t="s">
        <v>29</v>
      </c>
      <c r="B12" s="52" t="s">
        <v>30</v>
      </c>
      <c r="C12" s="53" t="s">
        <v>36</v>
      </c>
      <c r="D12" s="54">
        <v>15.0</v>
      </c>
      <c r="E12" s="55">
        <v>1.2</v>
      </c>
      <c r="F12" s="56">
        <f t="shared" si="1"/>
        <v>0.6286666667</v>
      </c>
      <c r="G12" s="57">
        <f t="shared" si="2"/>
        <v>0.7544</v>
      </c>
      <c r="H12" s="57">
        <f t="shared" si="3"/>
        <v>0.4456</v>
      </c>
      <c r="I12" s="58">
        <f t="shared" si="4"/>
        <v>0.4</v>
      </c>
      <c r="J12" s="59">
        <v>1.0</v>
      </c>
      <c r="K12" s="60">
        <v>0.4</v>
      </c>
      <c r="L12" s="61">
        <v>0.1</v>
      </c>
      <c r="M12" s="62">
        <v>0.014</v>
      </c>
      <c r="N12" s="63"/>
      <c r="O12" s="64"/>
      <c r="P12" s="65"/>
    </row>
    <row r="13">
      <c r="A13" s="51" t="s">
        <v>29</v>
      </c>
      <c r="B13" s="52" t="s">
        <v>30</v>
      </c>
      <c r="C13" s="53" t="s">
        <v>37</v>
      </c>
      <c r="D13" s="54">
        <v>15.0</v>
      </c>
      <c r="E13" s="55">
        <v>2.0</v>
      </c>
      <c r="F13" s="56">
        <f t="shared" si="1"/>
        <v>0.7772</v>
      </c>
      <c r="G13" s="57">
        <f t="shared" si="2"/>
        <v>1.5544</v>
      </c>
      <c r="H13" s="57">
        <f t="shared" si="3"/>
        <v>0.4456</v>
      </c>
      <c r="I13" s="58">
        <f t="shared" si="4"/>
        <v>0.4</v>
      </c>
      <c r="J13" s="59">
        <v>1.0</v>
      </c>
      <c r="K13" s="60">
        <v>0.4</v>
      </c>
      <c r="L13" s="61">
        <v>0.1</v>
      </c>
      <c r="M13" s="62">
        <v>0.014</v>
      </c>
      <c r="N13" s="63"/>
      <c r="O13" s="64"/>
      <c r="P13" s="65"/>
    </row>
    <row r="14">
      <c r="A14" s="51" t="s">
        <v>29</v>
      </c>
      <c r="B14" s="52" t="s">
        <v>30</v>
      </c>
      <c r="C14" s="53" t="s">
        <v>38</v>
      </c>
      <c r="D14" s="54">
        <v>15.0</v>
      </c>
      <c r="E14" s="55">
        <v>1.5</v>
      </c>
      <c r="F14" s="56">
        <f t="shared" si="1"/>
        <v>0.7029333333</v>
      </c>
      <c r="G14" s="57">
        <f t="shared" si="2"/>
        <v>1.0544</v>
      </c>
      <c r="H14" s="57">
        <f t="shared" si="3"/>
        <v>0.4456</v>
      </c>
      <c r="I14" s="58">
        <f t="shared" si="4"/>
        <v>0.4</v>
      </c>
      <c r="J14" s="59">
        <v>1.0</v>
      </c>
      <c r="K14" s="60">
        <v>0.4</v>
      </c>
      <c r="L14" s="61">
        <v>0.1</v>
      </c>
      <c r="M14" s="62">
        <v>0.014</v>
      </c>
      <c r="N14" s="63"/>
      <c r="O14" s="64"/>
      <c r="P14" s="65"/>
    </row>
    <row r="15">
      <c r="A15" s="51" t="s">
        <v>29</v>
      </c>
      <c r="B15" s="52" t="s">
        <v>30</v>
      </c>
      <c r="C15" s="53" t="s">
        <v>39</v>
      </c>
      <c r="D15" s="54">
        <v>15.0</v>
      </c>
      <c r="E15" s="55">
        <v>1.8</v>
      </c>
      <c r="F15" s="56">
        <f t="shared" si="1"/>
        <v>0.7524444444</v>
      </c>
      <c r="G15" s="57">
        <f t="shared" si="2"/>
        <v>1.3544</v>
      </c>
      <c r="H15" s="57">
        <f t="shared" si="3"/>
        <v>0.4456</v>
      </c>
      <c r="I15" s="58">
        <f t="shared" si="4"/>
        <v>0.4</v>
      </c>
      <c r="J15" s="59">
        <v>1.0</v>
      </c>
      <c r="K15" s="60">
        <v>0.4</v>
      </c>
      <c r="L15" s="61">
        <v>0.1</v>
      </c>
      <c r="M15" s="62">
        <v>0.014</v>
      </c>
      <c r="N15" s="63"/>
      <c r="O15" s="64"/>
      <c r="P15" s="65"/>
    </row>
    <row r="16">
      <c r="A16" s="51" t="s">
        <v>29</v>
      </c>
      <c r="B16" s="52" t="s">
        <v>30</v>
      </c>
      <c r="C16" s="53" t="s">
        <v>40</v>
      </c>
      <c r="D16" s="54">
        <v>33.0</v>
      </c>
      <c r="E16" s="55">
        <v>2.0</v>
      </c>
      <c r="F16" s="56">
        <f t="shared" si="1"/>
        <v>0.7772</v>
      </c>
      <c r="G16" s="57">
        <f t="shared" si="2"/>
        <v>1.5544</v>
      </c>
      <c r="H16" s="57">
        <f t="shared" si="3"/>
        <v>0.4456</v>
      </c>
      <c r="I16" s="58">
        <f t="shared" si="4"/>
        <v>0.4</v>
      </c>
      <c r="J16" s="59">
        <v>1.0</v>
      </c>
      <c r="K16" s="60">
        <v>0.4</v>
      </c>
      <c r="L16" s="61">
        <v>0.1</v>
      </c>
      <c r="M16" s="62">
        <v>0.014</v>
      </c>
      <c r="N16" s="63"/>
      <c r="O16" s="64"/>
      <c r="P16" s="65"/>
    </row>
    <row r="17">
      <c r="A17" s="51"/>
      <c r="B17" s="52"/>
      <c r="C17" s="66" t="s">
        <v>41</v>
      </c>
      <c r="D17" s="54">
        <v>20.0</v>
      </c>
      <c r="E17" s="55">
        <v>1.5</v>
      </c>
      <c r="F17" s="56">
        <f t="shared" si="1"/>
        <v>0.7772</v>
      </c>
      <c r="G17" s="57">
        <f t="shared" si="2"/>
        <v>1.1658</v>
      </c>
      <c r="H17" s="57">
        <f t="shared" si="3"/>
        <v>0.3342</v>
      </c>
      <c r="I17" s="58">
        <f t="shared" si="4"/>
        <v>0.3</v>
      </c>
      <c r="J17" s="59">
        <v>1.0</v>
      </c>
      <c r="K17" s="60">
        <v>0.3</v>
      </c>
      <c r="L17" s="61">
        <v>0.1</v>
      </c>
      <c r="M17" s="62">
        <v>0.014</v>
      </c>
      <c r="N17" s="63"/>
      <c r="O17" s="64"/>
      <c r="P17" s="65"/>
    </row>
    <row r="18">
      <c r="A18" s="51" t="s">
        <v>29</v>
      </c>
      <c r="B18" s="52" t="s">
        <v>30</v>
      </c>
      <c r="C18" s="53" t="s">
        <v>42</v>
      </c>
      <c r="D18" s="54">
        <v>15.0</v>
      </c>
      <c r="E18" s="55">
        <v>1.2</v>
      </c>
      <c r="F18" s="56">
        <f t="shared" si="1"/>
        <v>0.6286666667</v>
      </c>
      <c r="G18" s="57">
        <f t="shared" si="2"/>
        <v>0.7544</v>
      </c>
      <c r="H18" s="57">
        <f t="shared" si="3"/>
        <v>0.4456</v>
      </c>
      <c r="I18" s="58">
        <f t="shared" si="4"/>
        <v>0.4</v>
      </c>
      <c r="J18" s="59">
        <v>1.0</v>
      </c>
      <c r="K18" s="60">
        <v>0.4</v>
      </c>
      <c r="L18" s="61">
        <v>0.1</v>
      </c>
      <c r="M18" s="62">
        <v>0.014</v>
      </c>
      <c r="N18" s="63"/>
      <c r="O18" s="64"/>
      <c r="P18" s="65"/>
    </row>
    <row r="19">
      <c r="A19" s="51" t="s">
        <v>29</v>
      </c>
      <c r="B19" s="52" t="s">
        <v>30</v>
      </c>
      <c r="C19" s="53" t="s">
        <v>43</v>
      </c>
      <c r="D19" s="54">
        <v>15.0</v>
      </c>
      <c r="E19" s="55">
        <v>1.5</v>
      </c>
      <c r="F19" s="56">
        <f t="shared" si="1"/>
        <v>0.7029333333</v>
      </c>
      <c r="G19" s="57">
        <f t="shared" si="2"/>
        <v>1.0544</v>
      </c>
      <c r="H19" s="57">
        <f t="shared" si="3"/>
        <v>0.4456</v>
      </c>
      <c r="I19" s="58">
        <f t="shared" si="4"/>
        <v>0.4</v>
      </c>
      <c r="J19" s="59">
        <v>1.0</v>
      </c>
      <c r="K19" s="60">
        <v>0.4</v>
      </c>
      <c r="L19" s="61">
        <v>0.1</v>
      </c>
      <c r="M19" s="62">
        <v>0.014</v>
      </c>
      <c r="N19" s="63"/>
      <c r="O19" s="64"/>
      <c r="P19" s="65"/>
    </row>
    <row r="20">
      <c r="A20" s="51" t="s">
        <v>29</v>
      </c>
      <c r="B20" s="52" t="s">
        <v>30</v>
      </c>
      <c r="C20" s="53" t="s">
        <v>44</v>
      </c>
      <c r="D20" s="54">
        <v>33.0</v>
      </c>
      <c r="E20" s="55">
        <v>1.5</v>
      </c>
      <c r="F20" s="56">
        <f t="shared" si="1"/>
        <v>0.7029333333</v>
      </c>
      <c r="G20" s="57">
        <f t="shared" si="2"/>
        <v>1.0544</v>
      </c>
      <c r="H20" s="57">
        <f t="shared" si="3"/>
        <v>0.4456</v>
      </c>
      <c r="I20" s="58">
        <f t="shared" si="4"/>
        <v>0.4</v>
      </c>
      <c r="J20" s="59">
        <v>1.0</v>
      </c>
      <c r="K20" s="60">
        <v>0.4</v>
      </c>
      <c r="L20" s="61">
        <v>0.1</v>
      </c>
      <c r="M20" s="62">
        <v>0.014</v>
      </c>
      <c r="N20" s="63"/>
      <c r="O20" s="64"/>
      <c r="P20" s="65"/>
    </row>
    <row r="21">
      <c r="A21" s="67"/>
      <c r="B21" s="68"/>
      <c r="C21" s="69" t="s">
        <v>45</v>
      </c>
      <c r="D21" s="70">
        <v>20.0</v>
      </c>
      <c r="E21" s="71">
        <v>1.0</v>
      </c>
      <c r="F21" s="72">
        <f t="shared" si="1"/>
        <v>0.6658</v>
      </c>
      <c r="G21" s="73">
        <f t="shared" si="2"/>
        <v>0.6658</v>
      </c>
      <c r="H21" s="73">
        <f t="shared" si="3"/>
        <v>0.3342</v>
      </c>
      <c r="I21" s="74">
        <f t="shared" si="4"/>
        <v>0.3</v>
      </c>
      <c r="J21" s="75">
        <v>1.0</v>
      </c>
      <c r="K21" s="76">
        <v>0.3</v>
      </c>
      <c r="L21" s="77">
        <v>0.1</v>
      </c>
      <c r="M21" s="78">
        <v>0.014</v>
      </c>
      <c r="N21" s="79"/>
      <c r="O21" s="80"/>
      <c r="P21" s="81"/>
    </row>
    <row r="22">
      <c r="A22" s="82" t="s">
        <v>46</v>
      </c>
      <c r="B22" s="83" t="s">
        <v>47</v>
      </c>
      <c r="C22" s="84" t="s">
        <v>48</v>
      </c>
      <c r="D22" s="85">
        <v>150.0</v>
      </c>
      <c r="E22" s="86">
        <v>1.5</v>
      </c>
      <c r="F22" s="87">
        <f t="shared" si="1"/>
        <v>0.7658124444</v>
      </c>
      <c r="G22" s="88">
        <f t="shared" si="2"/>
        <v>1.148718667</v>
      </c>
      <c r="H22" s="88">
        <f t="shared" si="3"/>
        <v>0.3512813333</v>
      </c>
      <c r="I22" s="89">
        <f t="shared" si="4"/>
        <v>0.3153333333</v>
      </c>
      <c r="J22" s="90">
        <v>15.0</v>
      </c>
      <c r="K22" s="91">
        <v>4.73</v>
      </c>
      <c r="L22" s="92">
        <v>0.1</v>
      </c>
      <c r="M22" s="93">
        <v>0.014</v>
      </c>
      <c r="N22" s="94"/>
      <c r="O22" s="95"/>
      <c r="P22" s="96"/>
    </row>
    <row r="23">
      <c r="A23" s="97" t="s">
        <v>46</v>
      </c>
      <c r="B23" s="98" t="s">
        <v>47</v>
      </c>
      <c r="C23" s="99" t="s">
        <v>49</v>
      </c>
      <c r="D23" s="100">
        <v>33.0</v>
      </c>
      <c r="E23" s="101">
        <v>1.0</v>
      </c>
      <c r="F23" s="102">
        <f t="shared" si="1"/>
        <v>0.7140733333</v>
      </c>
      <c r="G23" s="103">
        <f t="shared" si="2"/>
        <v>0.7140733333</v>
      </c>
      <c r="H23" s="103">
        <f t="shared" si="3"/>
        <v>0.2859266667</v>
      </c>
      <c r="I23" s="89">
        <f t="shared" si="4"/>
        <v>0.2566666667</v>
      </c>
      <c r="J23" s="104">
        <v>24.0</v>
      </c>
      <c r="K23" s="105">
        <v>6.16</v>
      </c>
      <c r="L23" s="106">
        <v>0.1</v>
      </c>
      <c r="M23" s="107">
        <v>0.014</v>
      </c>
      <c r="N23" s="108"/>
      <c r="O23" s="109"/>
      <c r="P23" s="110"/>
    </row>
    <row r="24">
      <c r="A24" s="97" t="s">
        <v>46</v>
      </c>
      <c r="B24" s="98" t="s">
        <v>50</v>
      </c>
      <c r="C24" s="99" t="s">
        <v>51</v>
      </c>
      <c r="D24" s="100">
        <v>25.0</v>
      </c>
      <c r="E24" s="101">
        <v>1.3</v>
      </c>
      <c r="F24" s="102">
        <f t="shared" si="1"/>
        <v>0.6661570513</v>
      </c>
      <c r="G24" s="103">
        <f t="shared" si="2"/>
        <v>0.8660041667</v>
      </c>
      <c r="H24" s="103">
        <f t="shared" si="3"/>
        <v>0.4339958333</v>
      </c>
      <c r="I24" s="89">
        <f t="shared" si="4"/>
        <v>0.3895833333</v>
      </c>
      <c r="J24" s="104">
        <v>24.0</v>
      </c>
      <c r="K24" s="111">
        <v>9.35</v>
      </c>
      <c r="L24" s="106">
        <v>0.1</v>
      </c>
      <c r="M24" s="107">
        <v>0.014</v>
      </c>
      <c r="N24" s="108" t="s">
        <v>52</v>
      </c>
      <c r="O24" s="109"/>
      <c r="P24" s="110"/>
    </row>
    <row r="25">
      <c r="A25" s="97" t="s">
        <v>46</v>
      </c>
      <c r="B25" s="98" t="s">
        <v>50</v>
      </c>
      <c r="C25" s="99" t="s">
        <v>53</v>
      </c>
      <c r="D25" s="100">
        <v>30.0</v>
      </c>
      <c r="E25" s="101">
        <v>1.8</v>
      </c>
      <c r="F25" s="102">
        <f t="shared" si="1"/>
        <v>0.5556893519</v>
      </c>
      <c r="G25" s="103">
        <f t="shared" si="2"/>
        <v>1.000240833</v>
      </c>
      <c r="H25" s="103">
        <f t="shared" si="3"/>
        <v>0.7997591667</v>
      </c>
      <c r="I25" s="89">
        <f t="shared" si="4"/>
        <v>0.7179166667</v>
      </c>
      <c r="J25" s="104">
        <v>24.0</v>
      </c>
      <c r="K25" s="105">
        <v>17.23</v>
      </c>
      <c r="L25" s="106">
        <v>0.1</v>
      </c>
      <c r="M25" s="107">
        <v>0.014</v>
      </c>
      <c r="N25" s="108"/>
      <c r="O25" s="109"/>
      <c r="P25" s="110"/>
    </row>
    <row r="26">
      <c r="A26" s="97" t="s">
        <v>46</v>
      </c>
      <c r="B26" s="98" t="s">
        <v>54</v>
      </c>
      <c r="C26" s="99" t="s">
        <v>55</v>
      </c>
      <c r="D26" s="100">
        <v>30.0</v>
      </c>
      <c r="E26" s="101">
        <v>1.6</v>
      </c>
      <c r="F26" s="102">
        <f t="shared" si="1"/>
        <v>1</v>
      </c>
      <c r="G26" s="103">
        <f t="shared" si="2"/>
        <v>1.6</v>
      </c>
      <c r="H26" s="103">
        <f t="shared" si="3"/>
        <v>0</v>
      </c>
      <c r="I26" s="89">
        <f t="shared" si="4"/>
        <v>0</v>
      </c>
      <c r="J26" s="104">
        <v>1.0</v>
      </c>
      <c r="K26" s="111"/>
      <c r="L26" s="106">
        <v>0.1</v>
      </c>
      <c r="M26" s="107">
        <v>0.014</v>
      </c>
      <c r="N26" s="108"/>
      <c r="O26" s="109"/>
      <c r="P26" s="110"/>
    </row>
    <row r="27">
      <c r="A27" s="97" t="s">
        <v>46</v>
      </c>
      <c r="B27" s="98" t="s">
        <v>54</v>
      </c>
      <c r="C27" s="99" t="s">
        <v>56</v>
      </c>
      <c r="D27" s="100">
        <v>33.0</v>
      </c>
      <c r="E27" s="101">
        <v>1.5</v>
      </c>
      <c r="F27" s="102">
        <f t="shared" si="1"/>
        <v>1</v>
      </c>
      <c r="G27" s="103">
        <f t="shared" si="2"/>
        <v>1.5</v>
      </c>
      <c r="H27" s="103">
        <f t="shared" si="3"/>
        <v>0</v>
      </c>
      <c r="I27" s="89">
        <f t="shared" si="4"/>
        <v>0</v>
      </c>
      <c r="J27" s="104">
        <v>1.0</v>
      </c>
      <c r="K27" s="111"/>
      <c r="L27" s="106">
        <v>0.1</v>
      </c>
      <c r="M27" s="107">
        <v>0.014</v>
      </c>
      <c r="N27" s="108"/>
      <c r="O27" s="109"/>
      <c r="P27" s="110"/>
    </row>
    <row r="28">
      <c r="A28" s="97" t="s">
        <v>46</v>
      </c>
      <c r="B28" s="98" t="s">
        <v>54</v>
      </c>
      <c r="C28" s="99" t="s">
        <v>57</v>
      </c>
      <c r="D28" s="100">
        <v>30.0</v>
      </c>
      <c r="E28" s="101">
        <v>1.6</v>
      </c>
      <c r="F28" s="102">
        <f t="shared" si="1"/>
        <v>1</v>
      </c>
      <c r="G28" s="103">
        <f t="shared" si="2"/>
        <v>1.6</v>
      </c>
      <c r="H28" s="103">
        <f t="shared" si="3"/>
        <v>0</v>
      </c>
      <c r="I28" s="89">
        <f t="shared" si="4"/>
        <v>0</v>
      </c>
      <c r="J28" s="104">
        <v>1.0</v>
      </c>
      <c r="K28" s="111"/>
      <c r="L28" s="106">
        <v>0.1</v>
      </c>
      <c r="M28" s="107">
        <v>0.014</v>
      </c>
      <c r="N28" s="108"/>
      <c r="O28" s="109"/>
      <c r="P28" s="110"/>
    </row>
    <row r="29">
      <c r="A29" s="97" t="s">
        <v>46</v>
      </c>
      <c r="B29" s="98" t="s">
        <v>54</v>
      </c>
      <c r="C29" s="99" t="s">
        <v>58</v>
      </c>
      <c r="D29" s="100">
        <v>30.0</v>
      </c>
      <c r="E29" s="101">
        <v>1.5</v>
      </c>
      <c r="F29" s="102">
        <f t="shared" si="1"/>
        <v>1</v>
      </c>
      <c r="G29" s="103">
        <f t="shared" si="2"/>
        <v>1.5</v>
      </c>
      <c r="H29" s="103">
        <f t="shared" si="3"/>
        <v>0</v>
      </c>
      <c r="I29" s="89">
        <f t="shared" si="4"/>
        <v>0</v>
      </c>
      <c r="J29" s="104">
        <v>1.0</v>
      </c>
      <c r="K29" s="111"/>
      <c r="L29" s="106">
        <v>0.1</v>
      </c>
      <c r="M29" s="107">
        <v>0.014</v>
      </c>
      <c r="N29" s="108"/>
      <c r="O29" s="109"/>
      <c r="P29" s="110"/>
    </row>
    <row r="30">
      <c r="A30" s="97" t="s">
        <v>46</v>
      </c>
      <c r="B30" s="98" t="s">
        <v>54</v>
      </c>
      <c r="C30" s="99" t="s">
        <v>59</v>
      </c>
      <c r="D30" s="100">
        <v>25.0</v>
      </c>
      <c r="E30" s="101">
        <v>1.5</v>
      </c>
      <c r="F30" s="102">
        <f t="shared" si="1"/>
        <v>1</v>
      </c>
      <c r="G30" s="103">
        <f t="shared" si="2"/>
        <v>1.5</v>
      </c>
      <c r="H30" s="103">
        <f t="shared" si="3"/>
        <v>0</v>
      </c>
      <c r="I30" s="89">
        <f t="shared" si="4"/>
        <v>0</v>
      </c>
      <c r="J30" s="104">
        <v>1.0</v>
      </c>
      <c r="K30" s="111"/>
      <c r="L30" s="106">
        <v>0.1</v>
      </c>
      <c r="M30" s="107">
        <v>0.014</v>
      </c>
      <c r="N30" s="108"/>
      <c r="O30" s="109"/>
      <c r="P30" s="110"/>
    </row>
    <row r="31">
      <c r="A31" s="97" t="s">
        <v>46</v>
      </c>
      <c r="B31" s="98" t="s">
        <v>54</v>
      </c>
      <c r="C31" s="99" t="s">
        <v>60</v>
      </c>
      <c r="D31" s="100">
        <v>25.0</v>
      </c>
      <c r="E31" s="101">
        <v>1.5</v>
      </c>
      <c r="F31" s="102">
        <f t="shared" si="1"/>
        <v>1</v>
      </c>
      <c r="G31" s="103">
        <f t="shared" si="2"/>
        <v>1.5</v>
      </c>
      <c r="H31" s="103">
        <f t="shared" si="3"/>
        <v>0</v>
      </c>
      <c r="I31" s="89">
        <f t="shared" si="4"/>
        <v>0</v>
      </c>
      <c r="J31" s="104">
        <v>1.0</v>
      </c>
      <c r="K31" s="111"/>
      <c r="L31" s="106">
        <v>0.1</v>
      </c>
      <c r="M31" s="107">
        <v>0.014</v>
      </c>
      <c r="N31" s="108"/>
      <c r="O31" s="109"/>
      <c r="P31" s="110"/>
    </row>
    <row r="32">
      <c r="A32" s="97" t="s">
        <v>46</v>
      </c>
      <c r="B32" s="98" t="s">
        <v>54</v>
      </c>
      <c r="C32" s="99" t="s">
        <v>61</v>
      </c>
      <c r="D32" s="100">
        <v>20.0</v>
      </c>
      <c r="E32" s="101">
        <v>1.5</v>
      </c>
      <c r="F32" s="102">
        <f t="shared" si="1"/>
        <v>0.5048888889</v>
      </c>
      <c r="G32" s="103">
        <f t="shared" si="2"/>
        <v>0.7573333333</v>
      </c>
      <c r="H32" s="103">
        <f t="shared" si="3"/>
        <v>0.7426666667</v>
      </c>
      <c r="I32" s="89">
        <f t="shared" si="4"/>
        <v>0.6666666667</v>
      </c>
      <c r="J32" s="104">
        <v>24.0</v>
      </c>
      <c r="K32" s="105">
        <v>16.0</v>
      </c>
      <c r="L32" s="106">
        <v>0.1</v>
      </c>
      <c r="M32" s="107">
        <v>0.014</v>
      </c>
      <c r="N32" s="108"/>
      <c r="O32" s="109"/>
      <c r="P32" s="110"/>
    </row>
    <row r="33">
      <c r="A33" s="97" t="s">
        <v>46</v>
      </c>
      <c r="B33" s="98" t="s">
        <v>54</v>
      </c>
      <c r="C33" s="99" t="s">
        <v>62</v>
      </c>
      <c r="D33" s="100">
        <v>35.0</v>
      </c>
      <c r="E33" s="101">
        <v>1.6</v>
      </c>
      <c r="F33" s="102">
        <f t="shared" si="1"/>
        <v>0.1296875</v>
      </c>
      <c r="G33" s="103">
        <f t="shared" si="2"/>
        <v>0.2075</v>
      </c>
      <c r="H33" s="103">
        <f t="shared" si="3"/>
        <v>1.3925</v>
      </c>
      <c r="I33" s="89">
        <f t="shared" si="4"/>
        <v>1.25</v>
      </c>
      <c r="J33" s="104">
        <v>6.0</v>
      </c>
      <c r="K33" s="111">
        <v>7.5</v>
      </c>
      <c r="L33" s="106">
        <v>0.1</v>
      </c>
      <c r="M33" s="107">
        <v>0.014</v>
      </c>
      <c r="N33" s="108" t="s">
        <v>63</v>
      </c>
      <c r="O33" s="109"/>
      <c r="P33" s="110"/>
    </row>
    <row r="34">
      <c r="A34" s="97" t="s">
        <v>46</v>
      </c>
      <c r="B34" s="98" t="s">
        <v>54</v>
      </c>
      <c r="C34" s="99" t="s">
        <v>64</v>
      </c>
      <c r="D34" s="100">
        <v>33.0</v>
      </c>
      <c r="E34" s="101">
        <v>1.5</v>
      </c>
      <c r="F34" s="102">
        <f t="shared" si="1"/>
        <v>0.6283572222</v>
      </c>
      <c r="G34" s="103">
        <f t="shared" si="2"/>
        <v>0.9425358333</v>
      </c>
      <c r="H34" s="103">
        <f t="shared" si="3"/>
        <v>0.5574641667</v>
      </c>
      <c r="I34" s="89">
        <f t="shared" si="4"/>
        <v>0.5004166667</v>
      </c>
      <c r="J34" s="104">
        <v>24.0</v>
      </c>
      <c r="K34" s="105">
        <v>12.01</v>
      </c>
      <c r="L34" s="106">
        <v>0.1</v>
      </c>
      <c r="M34" s="107">
        <v>0.014</v>
      </c>
      <c r="N34" s="108"/>
      <c r="O34" s="109"/>
      <c r="P34" s="110"/>
    </row>
    <row r="35">
      <c r="A35" s="97" t="s">
        <v>46</v>
      </c>
      <c r="B35" s="98" t="s">
        <v>54</v>
      </c>
      <c r="C35" s="99" t="s">
        <v>65</v>
      </c>
      <c r="D35" s="100">
        <v>33.0</v>
      </c>
      <c r="E35" s="101">
        <v>1.5</v>
      </c>
      <c r="F35" s="102">
        <f t="shared" si="1"/>
        <v>0.7029333333</v>
      </c>
      <c r="G35" s="103">
        <f t="shared" si="2"/>
        <v>1.0544</v>
      </c>
      <c r="H35" s="103">
        <f t="shared" si="3"/>
        <v>0.4456</v>
      </c>
      <c r="I35" s="89">
        <f t="shared" si="4"/>
        <v>0.4</v>
      </c>
      <c r="J35" s="104">
        <v>12.0</v>
      </c>
      <c r="K35" s="111">
        <v>4.8</v>
      </c>
      <c r="L35" s="106">
        <v>0.1</v>
      </c>
      <c r="M35" s="107">
        <v>0.014</v>
      </c>
      <c r="N35" s="108" t="s">
        <v>63</v>
      </c>
      <c r="O35" s="109"/>
      <c r="P35" s="110" t="s">
        <v>66</v>
      </c>
    </row>
    <row r="36">
      <c r="A36" s="97" t="s">
        <v>46</v>
      </c>
      <c r="B36" s="98" t="s">
        <v>54</v>
      </c>
      <c r="C36" s="99" t="s">
        <v>67</v>
      </c>
      <c r="D36" s="100">
        <v>33.0</v>
      </c>
      <c r="E36" s="101">
        <v>1.5</v>
      </c>
      <c r="F36" s="102">
        <f t="shared" si="1"/>
        <v>0.6283572222</v>
      </c>
      <c r="G36" s="103">
        <f t="shared" si="2"/>
        <v>0.9425358333</v>
      </c>
      <c r="H36" s="103">
        <f t="shared" si="3"/>
        <v>0.5574641667</v>
      </c>
      <c r="I36" s="89">
        <f t="shared" si="4"/>
        <v>0.5004166667</v>
      </c>
      <c r="J36" s="104">
        <v>24.0</v>
      </c>
      <c r="K36" s="105">
        <v>12.01</v>
      </c>
      <c r="L36" s="106">
        <v>0.1</v>
      </c>
      <c r="M36" s="107">
        <v>0.014</v>
      </c>
      <c r="N36" s="108" t="s">
        <v>63</v>
      </c>
      <c r="O36" s="109"/>
      <c r="P36" s="110"/>
    </row>
    <row r="37">
      <c r="A37" s="97" t="s">
        <v>46</v>
      </c>
      <c r="B37" s="98" t="s">
        <v>54</v>
      </c>
      <c r="C37" s="99" t="s">
        <v>68</v>
      </c>
      <c r="D37" s="100">
        <v>20.0</v>
      </c>
      <c r="E37" s="101">
        <v>1.5</v>
      </c>
      <c r="F37" s="102">
        <f t="shared" si="1"/>
        <v>0.4990094444</v>
      </c>
      <c r="G37" s="103">
        <f t="shared" si="2"/>
        <v>0.7485141667</v>
      </c>
      <c r="H37" s="103">
        <f t="shared" si="3"/>
        <v>0.7514858333</v>
      </c>
      <c r="I37" s="89">
        <f t="shared" si="4"/>
        <v>0.6745833333</v>
      </c>
      <c r="J37" s="104">
        <v>24.0</v>
      </c>
      <c r="K37" s="105">
        <v>16.19</v>
      </c>
      <c r="L37" s="106">
        <v>0.1</v>
      </c>
      <c r="M37" s="107">
        <v>0.014</v>
      </c>
      <c r="N37" s="108" t="s">
        <v>63</v>
      </c>
      <c r="O37" s="109"/>
      <c r="P37" s="110"/>
    </row>
    <row r="38">
      <c r="A38" s="97" t="s">
        <v>46</v>
      </c>
      <c r="B38" s="98" t="s">
        <v>54</v>
      </c>
      <c r="C38" s="99" t="s">
        <v>69</v>
      </c>
      <c r="D38" s="100">
        <v>33.0</v>
      </c>
      <c r="E38" s="101">
        <v>1.5</v>
      </c>
      <c r="F38" s="102">
        <f t="shared" si="1"/>
        <v>0.42072</v>
      </c>
      <c r="G38" s="103">
        <f t="shared" si="2"/>
        <v>0.63108</v>
      </c>
      <c r="H38" s="103">
        <f t="shared" si="3"/>
        <v>0.86892</v>
      </c>
      <c r="I38" s="89">
        <f t="shared" si="4"/>
        <v>0.78</v>
      </c>
      <c r="J38" s="104">
        <v>24.0</v>
      </c>
      <c r="K38" s="111">
        <v>18.72</v>
      </c>
      <c r="L38" s="106">
        <v>0.1</v>
      </c>
      <c r="M38" s="107">
        <v>0.014</v>
      </c>
      <c r="N38" s="108" t="s">
        <v>63</v>
      </c>
      <c r="O38" s="109"/>
      <c r="P38" s="110"/>
    </row>
    <row r="39">
      <c r="A39" s="97" t="s">
        <v>46</v>
      </c>
      <c r="B39" s="98" t="s">
        <v>54</v>
      </c>
      <c r="C39" s="99" t="s">
        <v>70</v>
      </c>
      <c r="D39" s="100">
        <v>33.0</v>
      </c>
      <c r="E39" s="101">
        <v>1.5</v>
      </c>
      <c r="F39" s="102">
        <f t="shared" si="1"/>
        <v>0.6945783333</v>
      </c>
      <c r="G39" s="103">
        <f t="shared" si="2"/>
        <v>1.0418675</v>
      </c>
      <c r="H39" s="103">
        <f t="shared" si="3"/>
        <v>0.4581325</v>
      </c>
      <c r="I39" s="89">
        <f t="shared" si="4"/>
        <v>0.41125</v>
      </c>
      <c r="J39" s="104">
        <v>24.0</v>
      </c>
      <c r="K39" s="111">
        <v>9.87</v>
      </c>
      <c r="L39" s="106">
        <v>0.1</v>
      </c>
      <c r="M39" s="107">
        <v>0.014</v>
      </c>
      <c r="N39" s="108" t="s">
        <v>63</v>
      </c>
      <c r="O39" s="109"/>
      <c r="P39" s="110"/>
    </row>
    <row r="40">
      <c r="A40" s="97" t="s">
        <v>46</v>
      </c>
      <c r="B40" s="98" t="s">
        <v>71</v>
      </c>
      <c r="C40" s="99" t="s">
        <v>72</v>
      </c>
      <c r="D40" s="100">
        <v>33.0</v>
      </c>
      <c r="E40" s="101">
        <v>0.5</v>
      </c>
      <c r="F40" s="102">
        <f t="shared" si="1"/>
        <v>1</v>
      </c>
      <c r="G40" s="103">
        <f t="shared" si="2"/>
        <v>0.5</v>
      </c>
      <c r="H40" s="103">
        <f t="shared" si="3"/>
        <v>0</v>
      </c>
      <c r="I40" s="89">
        <f t="shared" si="4"/>
        <v>0</v>
      </c>
      <c r="J40" s="104">
        <v>1.0</v>
      </c>
      <c r="K40" s="111"/>
      <c r="L40" s="106">
        <v>0.1</v>
      </c>
      <c r="M40" s="107">
        <v>0.014</v>
      </c>
      <c r="N40" s="108"/>
      <c r="O40" s="109"/>
      <c r="P40" s="110"/>
    </row>
    <row r="41">
      <c r="A41" s="97" t="s">
        <v>46</v>
      </c>
      <c r="B41" s="98" t="s">
        <v>71</v>
      </c>
      <c r="C41" s="99" t="s">
        <v>73</v>
      </c>
      <c r="D41" s="100">
        <v>50.0</v>
      </c>
      <c r="E41" s="101">
        <v>1.5</v>
      </c>
      <c r="F41" s="102">
        <f t="shared" si="1"/>
        <v>0.3532611111</v>
      </c>
      <c r="G41" s="103">
        <f t="shared" si="2"/>
        <v>0.5298916667</v>
      </c>
      <c r="H41" s="103">
        <f t="shared" si="3"/>
        <v>0.9701083333</v>
      </c>
      <c r="I41" s="89">
        <f t="shared" si="4"/>
        <v>0.8708333333</v>
      </c>
      <c r="J41" s="104">
        <v>12.0</v>
      </c>
      <c r="K41" s="111">
        <v>10.45</v>
      </c>
      <c r="L41" s="106">
        <v>0.1</v>
      </c>
      <c r="M41" s="107">
        <v>0.014</v>
      </c>
      <c r="N41" s="108" t="s">
        <v>52</v>
      </c>
      <c r="O41" s="109"/>
      <c r="P41" s="110"/>
    </row>
    <row r="42">
      <c r="A42" s="97" t="s">
        <v>46</v>
      </c>
      <c r="B42" s="98" t="s">
        <v>54</v>
      </c>
      <c r="C42" s="99" t="s">
        <v>74</v>
      </c>
      <c r="D42" s="100">
        <v>30.0</v>
      </c>
      <c r="E42" s="101">
        <v>1.6</v>
      </c>
      <c r="F42" s="102">
        <f t="shared" si="1"/>
        <v>0.19235</v>
      </c>
      <c r="G42" s="103">
        <f t="shared" si="2"/>
        <v>0.30776</v>
      </c>
      <c r="H42" s="103">
        <f t="shared" si="3"/>
        <v>1.29224</v>
      </c>
      <c r="I42" s="89">
        <f t="shared" si="4"/>
        <v>1.16</v>
      </c>
      <c r="J42" s="104">
        <v>24.0</v>
      </c>
      <c r="K42" s="111">
        <v>27.84</v>
      </c>
      <c r="L42" s="106">
        <v>0.1</v>
      </c>
      <c r="M42" s="107">
        <v>0.014</v>
      </c>
      <c r="N42" s="108" t="s">
        <v>63</v>
      </c>
      <c r="O42" s="109"/>
      <c r="P42" s="110"/>
    </row>
    <row r="43">
      <c r="A43" s="97" t="s">
        <v>46</v>
      </c>
      <c r="B43" s="98" t="s">
        <v>54</v>
      </c>
      <c r="C43" s="99" t="s">
        <v>75</v>
      </c>
      <c r="D43" s="100">
        <v>33.0</v>
      </c>
      <c r="E43" s="101">
        <v>1.5</v>
      </c>
      <c r="F43" s="102">
        <f t="shared" si="1"/>
        <v>1</v>
      </c>
      <c r="G43" s="103">
        <f t="shared" si="2"/>
        <v>1.5</v>
      </c>
      <c r="H43" s="103">
        <f t="shared" si="3"/>
        <v>0</v>
      </c>
      <c r="I43" s="89">
        <f t="shared" si="4"/>
        <v>0</v>
      </c>
      <c r="J43" s="104">
        <v>1.0</v>
      </c>
      <c r="K43" s="111"/>
      <c r="L43" s="106">
        <v>0.1</v>
      </c>
      <c r="M43" s="107">
        <v>0.014</v>
      </c>
      <c r="N43" s="108"/>
      <c r="O43" s="109"/>
      <c r="P43" s="110"/>
    </row>
    <row r="44">
      <c r="A44" s="97" t="s">
        <v>46</v>
      </c>
      <c r="B44" s="98" t="s">
        <v>54</v>
      </c>
      <c r="C44" s="99" t="s">
        <v>76</v>
      </c>
      <c r="D44" s="100">
        <v>30.0</v>
      </c>
      <c r="E44" s="101">
        <v>2.0</v>
      </c>
      <c r="F44" s="102">
        <f t="shared" si="1"/>
        <v>1</v>
      </c>
      <c r="G44" s="103">
        <f t="shared" si="2"/>
        <v>2</v>
      </c>
      <c r="H44" s="103">
        <f t="shared" si="3"/>
        <v>0</v>
      </c>
      <c r="I44" s="89">
        <f t="shared" si="4"/>
        <v>0</v>
      </c>
      <c r="J44" s="104">
        <v>1.0</v>
      </c>
      <c r="K44" s="111"/>
      <c r="L44" s="106">
        <v>0.1</v>
      </c>
      <c r="M44" s="107">
        <v>0.014</v>
      </c>
      <c r="N44" s="108"/>
      <c r="O44" s="109"/>
      <c r="P44" s="110"/>
    </row>
    <row r="45">
      <c r="A45" s="97" t="s">
        <v>46</v>
      </c>
      <c r="B45" s="98" t="s">
        <v>54</v>
      </c>
      <c r="C45" s="99" t="s">
        <v>77</v>
      </c>
      <c r="D45" s="100">
        <v>30.0</v>
      </c>
      <c r="E45" s="101">
        <v>1.5</v>
      </c>
      <c r="F45" s="102">
        <f t="shared" si="1"/>
        <v>1</v>
      </c>
      <c r="G45" s="103">
        <f t="shared" si="2"/>
        <v>1.5</v>
      </c>
      <c r="H45" s="103">
        <f t="shared" si="3"/>
        <v>0</v>
      </c>
      <c r="I45" s="89">
        <f t="shared" si="4"/>
        <v>0</v>
      </c>
      <c r="J45" s="104">
        <v>1.0</v>
      </c>
      <c r="K45" s="111"/>
      <c r="L45" s="106">
        <v>0.1</v>
      </c>
      <c r="M45" s="107">
        <v>0.014</v>
      </c>
      <c r="N45" s="108"/>
      <c r="O45" s="109"/>
      <c r="P45" s="110"/>
    </row>
    <row r="46">
      <c r="A46" s="97" t="s">
        <v>46</v>
      </c>
      <c r="B46" s="98" t="s">
        <v>54</v>
      </c>
      <c r="C46" s="99" t="s">
        <v>78</v>
      </c>
      <c r="D46" s="100">
        <v>30.0</v>
      </c>
      <c r="E46" s="101">
        <v>1.3</v>
      </c>
      <c r="F46" s="102">
        <f t="shared" si="1"/>
        <v>1</v>
      </c>
      <c r="G46" s="103">
        <f t="shared" si="2"/>
        <v>1.3</v>
      </c>
      <c r="H46" s="103">
        <f t="shared" si="3"/>
        <v>0</v>
      </c>
      <c r="I46" s="89">
        <f t="shared" si="4"/>
        <v>0</v>
      </c>
      <c r="J46" s="104">
        <v>1.0</v>
      </c>
      <c r="K46" s="111"/>
      <c r="L46" s="106">
        <v>0.1</v>
      </c>
      <c r="M46" s="107">
        <v>0.014</v>
      </c>
      <c r="N46" s="108"/>
      <c r="O46" s="109"/>
      <c r="P46" s="110"/>
    </row>
    <row r="47">
      <c r="A47" s="97" t="s">
        <v>46</v>
      </c>
      <c r="B47" s="98" t="s">
        <v>54</v>
      </c>
      <c r="C47" s="99" t="s">
        <v>79</v>
      </c>
      <c r="D47" s="100">
        <v>30.0</v>
      </c>
      <c r="E47" s="101">
        <v>1.3</v>
      </c>
      <c r="F47" s="102">
        <f t="shared" si="1"/>
        <v>1</v>
      </c>
      <c r="G47" s="103">
        <f t="shared" si="2"/>
        <v>1.3</v>
      </c>
      <c r="H47" s="103">
        <f t="shared" si="3"/>
        <v>0</v>
      </c>
      <c r="I47" s="89">
        <f t="shared" si="4"/>
        <v>0</v>
      </c>
      <c r="J47" s="104">
        <v>1.0</v>
      </c>
      <c r="K47" s="111"/>
      <c r="L47" s="106">
        <v>0.1</v>
      </c>
      <c r="M47" s="107">
        <v>0.014</v>
      </c>
      <c r="N47" s="108"/>
      <c r="O47" s="109"/>
      <c r="P47" s="110"/>
    </row>
    <row r="48">
      <c r="A48" s="97" t="s">
        <v>46</v>
      </c>
      <c r="B48" s="98" t="s">
        <v>54</v>
      </c>
      <c r="C48" s="99" t="s">
        <v>80</v>
      </c>
      <c r="D48" s="100">
        <v>30.0</v>
      </c>
      <c r="E48" s="101">
        <v>2.0</v>
      </c>
      <c r="F48" s="102">
        <f t="shared" si="1"/>
        <v>1</v>
      </c>
      <c r="G48" s="103">
        <f t="shared" si="2"/>
        <v>2</v>
      </c>
      <c r="H48" s="103">
        <f t="shared" si="3"/>
        <v>0</v>
      </c>
      <c r="I48" s="89">
        <f t="shared" si="4"/>
        <v>0</v>
      </c>
      <c r="J48" s="104">
        <v>1.0</v>
      </c>
      <c r="K48" s="111"/>
      <c r="L48" s="106">
        <v>0.1</v>
      </c>
      <c r="M48" s="107">
        <v>0.014</v>
      </c>
      <c r="N48" s="108"/>
      <c r="O48" s="109"/>
      <c r="P48" s="110"/>
    </row>
    <row r="49">
      <c r="A49" s="97" t="s">
        <v>46</v>
      </c>
      <c r="B49" s="98" t="s">
        <v>54</v>
      </c>
      <c r="C49" s="99" t="s">
        <v>81</v>
      </c>
      <c r="D49" s="100">
        <v>30.0</v>
      </c>
      <c r="E49" s="101">
        <v>1.5</v>
      </c>
      <c r="F49" s="102">
        <f t="shared" si="1"/>
        <v>1</v>
      </c>
      <c r="G49" s="103">
        <f t="shared" si="2"/>
        <v>1.5</v>
      </c>
      <c r="H49" s="103">
        <f t="shared" si="3"/>
        <v>0</v>
      </c>
      <c r="I49" s="89">
        <f t="shared" si="4"/>
        <v>0</v>
      </c>
      <c r="J49" s="104">
        <v>1.0</v>
      </c>
      <c r="K49" s="111"/>
      <c r="L49" s="106">
        <v>0.1</v>
      </c>
      <c r="M49" s="107">
        <v>0.014</v>
      </c>
      <c r="N49" s="108"/>
      <c r="O49" s="109"/>
      <c r="P49" s="110"/>
    </row>
    <row r="50">
      <c r="A50" s="112" t="s">
        <v>46</v>
      </c>
      <c r="B50" s="113" t="s">
        <v>54</v>
      </c>
      <c r="C50" s="114" t="s">
        <v>82</v>
      </c>
      <c r="D50" s="115">
        <v>33.0</v>
      </c>
      <c r="E50" s="116">
        <v>1.5</v>
      </c>
      <c r="F50" s="117">
        <f t="shared" si="1"/>
        <v>1</v>
      </c>
      <c r="G50" s="118">
        <f t="shared" si="2"/>
        <v>1.5</v>
      </c>
      <c r="H50" s="118">
        <f t="shared" si="3"/>
        <v>0</v>
      </c>
      <c r="I50" s="119">
        <f t="shared" si="4"/>
        <v>0</v>
      </c>
      <c r="J50" s="120">
        <v>1.0</v>
      </c>
      <c r="K50" s="121"/>
      <c r="L50" s="122">
        <v>0.1</v>
      </c>
      <c r="M50" s="123">
        <v>0.014</v>
      </c>
      <c r="N50" s="124"/>
      <c r="O50" s="125"/>
      <c r="P50" s="126"/>
    </row>
    <row r="51">
      <c r="A51" s="127" t="s">
        <v>83</v>
      </c>
      <c r="B51" s="128" t="s">
        <v>84</v>
      </c>
      <c r="C51" s="129" t="s">
        <v>85</v>
      </c>
      <c r="D51" s="130">
        <v>5000.0</v>
      </c>
      <c r="E51" s="131">
        <v>100.0</v>
      </c>
      <c r="F51" s="132">
        <f t="shared" si="1"/>
        <v>-0.262</v>
      </c>
      <c r="G51" s="133">
        <f t="shared" si="2"/>
        <v>-26.2</v>
      </c>
      <c r="H51" s="133">
        <f t="shared" si="3"/>
        <v>126.2</v>
      </c>
      <c r="I51" s="134">
        <v>100.0</v>
      </c>
      <c r="J51" s="135">
        <v>1.0</v>
      </c>
      <c r="K51" s="136">
        <v>100.0</v>
      </c>
      <c r="L51" s="137">
        <v>0.21</v>
      </c>
      <c r="M51" s="138">
        <v>0.052</v>
      </c>
      <c r="N51" s="139" t="s">
        <v>86</v>
      </c>
      <c r="O51" s="140"/>
      <c r="P51" s="141"/>
    </row>
    <row r="52" outlineLevel="1">
      <c r="A52" s="97"/>
      <c r="B52" s="98"/>
      <c r="C52" s="142" t="s">
        <v>87</v>
      </c>
      <c r="D52" s="100">
        <v>10.0</v>
      </c>
      <c r="E52" s="101">
        <v>1.0</v>
      </c>
      <c r="F52" s="102">
        <f t="shared" si="1"/>
        <v>0.7476</v>
      </c>
      <c r="G52" s="103">
        <f t="shared" si="2"/>
        <v>0.7476</v>
      </c>
      <c r="H52" s="103">
        <f t="shared" si="3"/>
        <v>0.2524</v>
      </c>
      <c r="I52" s="89">
        <f t="shared" ref="I52:I57" si="5">($I$51*D52)/$D$51</f>
        <v>0.2</v>
      </c>
      <c r="J52" s="104"/>
      <c r="K52" s="111">
        <v>100.0</v>
      </c>
      <c r="L52" s="106">
        <v>0.21</v>
      </c>
      <c r="M52" s="107">
        <v>0.052</v>
      </c>
      <c r="N52" s="108" t="s">
        <v>86</v>
      </c>
      <c r="O52" s="109"/>
      <c r="P52" s="110"/>
    </row>
    <row r="53" outlineLevel="1">
      <c r="A53" s="97"/>
      <c r="B53" s="98"/>
      <c r="C53" s="142" t="s">
        <v>88</v>
      </c>
      <c r="D53" s="100">
        <v>20.0</v>
      </c>
      <c r="E53" s="101">
        <v>1.2</v>
      </c>
      <c r="F53" s="102">
        <f t="shared" si="1"/>
        <v>0.5793333333</v>
      </c>
      <c r="G53" s="103">
        <f t="shared" si="2"/>
        <v>0.6952</v>
      </c>
      <c r="H53" s="103">
        <f t="shared" si="3"/>
        <v>0.5048</v>
      </c>
      <c r="I53" s="89">
        <f t="shared" si="5"/>
        <v>0.4</v>
      </c>
      <c r="J53" s="104">
        <v>250.0</v>
      </c>
      <c r="K53" s="111">
        <v>100.0</v>
      </c>
      <c r="L53" s="106">
        <v>0.21</v>
      </c>
      <c r="M53" s="107">
        <v>0.052</v>
      </c>
      <c r="N53" s="108" t="s">
        <v>86</v>
      </c>
      <c r="O53" s="109"/>
      <c r="P53" s="110"/>
    </row>
    <row r="54" outlineLevel="1">
      <c r="A54" s="97"/>
      <c r="B54" s="98"/>
      <c r="C54" s="142" t="s">
        <v>89</v>
      </c>
      <c r="D54" s="100">
        <v>30.0</v>
      </c>
      <c r="E54" s="101">
        <v>1.6</v>
      </c>
      <c r="F54" s="102">
        <f t="shared" si="1"/>
        <v>0.52675</v>
      </c>
      <c r="G54" s="103">
        <f t="shared" si="2"/>
        <v>0.8428</v>
      </c>
      <c r="H54" s="103">
        <f t="shared" si="3"/>
        <v>0.7572</v>
      </c>
      <c r="I54" s="89">
        <f t="shared" si="5"/>
        <v>0.6</v>
      </c>
      <c r="J54" s="104">
        <v>150.0</v>
      </c>
      <c r="K54" s="111">
        <v>100.0</v>
      </c>
      <c r="L54" s="106">
        <v>0.21</v>
      </c>
      <c r="M54" s="107">
        <v>0.052</v>
      </c>
      <c r="N54" s="108" t="s">
        <v>86</v>
      </c>
      <c r="O54" s="109"/>
      <c r="P54" s="110"/>
    </row>
    <row r="55" outlineLevel="1">
      <c r="A55" s="97"/>
      <c r="B55" s="98"/>
      <c r="C55" s="142" t="s">
        <v>90</v>
      </c>
      <c r="D55" s="100">
        <v>50.0</v>
      </c>
      <c r="E55" s="101">
        <v>2.5</v>
      </c>
      <c r="F55" s="102">
        <f t="shared" si="1"/>
        <v>0.4952</v>
      </c>
      <c r="G55" s="103">
        <f t="shared" si="2"/>
        <v>1.238</v>
      </c>
      <c r="H55" s="103">
        <f t="shared" si="3"/>
        <v>1.262</v>
      </c>
      <c r="I55" s="89">
        <f t="shared" si="5"/>
        <v>1</v>
      </c>
      <c r="J55" s="104">
        <v>100.0</v>
      </c>
      <c r="K55" s="111">
        <v>100.0</v>
      </c>
      <c r="L55" s="106">
        <v>0.21</v>
      </c>
      <c r="M55" s="107">
        <v>0.052</v>
      </c>
      <c r="N55" s="108" t="s">
        <v>86</v>
      </c>
      <c r="O55" s="109"/>
      <c r="P55" s="110"/>
    </row>
    <row r="56" outlineLevel="1">
      <c r="A56" s="97"/>
      <c r="B56" s="98"/>
      <c r="C56" s="142" t="s">
        <v>91</v>
      </c>
      <c r="D56" s="100">
        <v>100.0</v>
      </c>
      <c r="E56" s="101">
        <v>5.0</v>
      </c>
      <c r="F56" s="102">
        <f t="shared" si="1"/>
        <v>0.4952</v>
      </c>
      <c r="G56" s="103">
        <f t="shared" si="2"/>
        <v>2.476</v>
      </c>
      <c r="H56" s="103">
        <f t="shared" si="3"/>
        <v>2.524</v>
      </c>
      <c r="I56" s="89">
        <f t="shared" si="5"/>
        <v>2</v>
      </c>
      <c r="J56" s="104">
        <v>50.0</v>
      </c>
      <c r="K56" s="111">
        <v>100.0</v>
      </c>
      <c r="L56" s="106">
        <v>0.21</v>
      </c>
      <c r="M56" s="107">
        <v>0.052</v>
      </c>
      <c r="N56" s="108" t="s">
        <v>86</v>
      </c>
      <c r="O56" s="109"/>
      <c r="P56" s="110"/>
    </row>
    <row r="57" outlineLevel="1">
      <c r="A57" s="97"/>
      <c r="B57" s="98"/>
      <c r="C57" s="142" t="s">
        <v>92</v>
      </c>
      <c r="D57" s="100">
        <v>100.0</v>
      </c>
      <c r="E57" s="101">
        <v>6.0</v>
      </c>
      <c r="F57" s="102">
        <f t="shared" si="1"/>
        <v>0.5793333333</v>
      </c>
      <c r="G57" s="103">
        <f t="shared" si="2"/>
        <v>3.476</v>
      </c>
      <c r="H57" s="103">
        <f t="shared" si="3"/>
        <v>2.524</v>
      </c>
      <c r="I57" s="89">
        <f t="shared" si="5"/>
        <v>2</v>
      </c>
      <c r="J57" s="104">
        <v>50.0</v>
      </c>
      <c r="K57" s="111">
        <v>100.0</v>
      </c>
      <c r="L57" s="106">
        <v>0.21</v>
      </c>
      <c r="M57" s="107">
        <v>0.052</v>
      </c>
      <c r="N57" s="108" t="s">
        <v>86</v>
      </c>
      <c r="O57" s="109"/>
      <c r="P57" s="110"/>
    </row>
    <row r="58">
      <c r="A58" s="97" t="s">
        <v>83</v>
      </c>
      <c r="B58" s="98" t="s">
        <v>84</v>
      </c>
      <c r="C58" s="99" t="s">
        <v>93</v>
      </c>
      <c r="D58" s="100">
        <v>3000.0</v>
      </c>
      <c r="E58" s="101">
        <v>200.0</v>
      </c>
      <c r="F58" s="102">
        <f t="shared" si="1"/>
        <v>0.457971</v>
      </c>
      <c r="G58" s="103">
        <f t="shared" si="2"/>
        <v>91.5942</v>
      </c>
      <c r="H58" s="103">
        <f t="shared" si="3"/>
        <v>108.4058</v>
      </c>
      <c r="I58" s="143">
        <v>85.9</v>
      </c>
      <c r="J58" s="104"/>
      <c r="K58" s="111">
        <v>78.04</v>
      </c>
      <c r="L58" s="106">
        <v>0.21</v>
      </c>
      <c r="M58" s="107">
        <v>0.052</v>
      </c>
      <c r="N58" s="108" t="s">
        <v>86</v>
      </c>
      <c r="O58" s="109"/>
      <c r="P58" s="110"/>
    </row>
    <row r="59" outlineLevel="1">
      <c r="A59" s="97"/>
      <c r="B59" s="98"/>
      <c r="C59" s="142" t="s">
        <v>87</v>
      </c>
      <c r="D59" s="100">
        <v>10.0</v>
      </c>
      <c r="E59" s="101">
        <v>1.0</v>
      </c>
      <c r="F59" s="102">
        <f t="shared" si="1"/>
        <v>0.6386473333</v>
      </c>
      <c r="G59" s="103">
        <f t="shared" si="2"/>
        <v>0.6386473333</v>
      </c>
      <c r="H59" s="103">
        <f t="shared" si="3"/>
        <v>0.3613526667</v>
      </c>
      <c r="I59" s="89">
        <f t="shared" ref="I59:I64" si="6">($I$58*D59)/$D$58</f>
        <v>0.2863333333</v>
      </c>
      <c r="J59" s="104"/>
      <c r="K59" s="111">
        <v>78.04</v>
      </c>
      <c r="L59" s="106">
        <v>0.21</v>
      </c>
      <c r="M59" s="107">
        <v>0.052</v>
      </c>
      <c r="N59" s="108" t="s">
        <v>86</v>
      </c>
      <c r="O59" s="109"/>
      <c r="P59" s="110"/>
    </row>
    <row r="60" outlineLevel="1">
      <c r="A60" s="97"/>
      <c r="B60" s="98"/>
      <c r="C60" s="142" t="s">
        <v>88</v>
      </c>
      <c r="D60" s="100">
        <v>20.0</v>
      </c>
      <c r="E60" s="101">
        <v>1.5</v>
      </c>
      <c r="F60" s="102">
        <f t="shared" si="1"/>
        <v>0.5181964444</v>
      </c>
      <c r="G60" s="103">
        <f t="shared" si="2"/>
        <v>0.7772946667</v>
      </c>
      <c r="H60" s="103">
        <f t="shared" si="3"/>
        <v>0.7227053333</v>
      </c>
      <c r="I60" s="89">
        <f t="shared" si="6"/>
        <v>0.5726666667</v>
      </c>
      <c r="J60" s="104">
        <v>150.0</v>
      </c>
      <c r="K60" s="111">
        <v>78.04</v>
      </c>
      <c r="L60" s="106">
        <v>0.21</v>
      </c>
      <c r="M60" s="107">
        <v>0.052</v>
      </c>
      <c r="N60" s="108" t="s">
        <v>86</v>
      </c>
      <c r="O60" s="109"/>
      <c r="P60" s="110"/>
    </row>
    <row r="61" outlineLevel="1">
      <c r="A61" s="97"/>
      <c r="B61" s="98"/>
      <c r="C61" s="142" t="s">
        <v>89</v>
      </c>
      <c r="D61" s="100">
        <v>30.0</v>
      </c>
      <c r="E61" s="101">
        <v>2.0</v>
      </c>
      <c r="F61" s="102">
        <f t="shared" si="1"/>
        <v>0.457971</v>
      </c>
      <c r="G61" s="103">
        <f t="shared" si="2"/>
        <v>0.915942</v>
      </c>
      <c r="H61" s="103">
        <f t="shared" si="3"/>
        <v>1.084058</v>
      </c>
      <c r="I61" s="89">
        <f t="shared" si="6"/>
        <v>0.859</v>
      </c>
      <c r="J61" s="104">
        <v>90.0</v>
      </c>
      <c r="K61" s="111">
        <v>78.04</v>
      </c>
      <c r="L61" s="106">
        <v>0.21</v>
      </c>
      <c r="M61" s="107">
        <v>0.052</v>
      </c>
      <c r="N61" s="108" t="s">
        <v>86</v>
      </c>
      <c r="O61" s="109"/>
      <c r="P61" s="110"/>
    </row>
    <row r="62" outlineLevel="1">
      <c r="A62" s="97"/>
      <c r="B62" s="98"/>
      <c r="C62" s="142" t="s">
        <v>90</v>
      </c>
      <c r="D62" s="100">
        <v>50.0</v>
      </c>
      <c r="E62" s="101">
        <v>3.0</v>
      </c>
      <c r="F62" s="102">
        <f t="shared" si="1"/>
        <v>0.3977455556</v>
      </c>
      <c r="G62" s="103">
        <f t="shared" si="2"/>
        <v>1.193236667</v>
      </c>
      <c r="H62" s="103">
        <f t="shared" si="3"/>
        <v>1.806763333</v>
      </c>
      <c r="I62" s="89">
        <f t="shared" si="6"/>
        <v>1.431666667</v>
      </c>
      <c r="J62" s="104">
        <v>60.0</v>
      </c>
      <c r="K62" s="111">
        <v>78.04</v>
      </c>
      <c r="L62" s="106">
        <v>0.21</v>
      </c>
      <c r="M62" s="107">
        <v>0.052</v>
      </c>
      <c r="N62" s="108" t="s">
        <v>86</v>
      </c>
      <c r="O62" s="109"/>
      <c r="P62" s="110"/>
    </row>
    <row r="63" outlineLevel="1">
      <c r="A63" s="97"/>
      <c r="B63" s="98"/>
      <c r="C63" s="142" t="s">
        <v>91</v>
      </c>
      <c r="D63" s="100">
        <v>100.0</v>
      </c>
      <c r="E63" s="101">
        <v>6.0</v>
      </c>
      <c r="F63" s="102">
        <f t="shared" si="1"/>
        <v>0.3977455556</v>
      </c>
      <c r="G63" s="103">
        <f t="shared" si="2"/>
        <v>2.386473333</v>
      </c>
      <c r="H63" s="103">
        <f t="shared" si="3"/>
        <v>3.613526667</v>
      </c>
      <c r="I63" s="89">
        <f t="shared" si="6"/>
        <v>2.863333333</v>
      </c>
      <c r="J63" s="104">
        <v>30.0</v>
      </c>
      <c r="K63" s="111">
        <v>78.04</v>
      </c>
      <c r="L63" s="106">
        <v>0.21</v>
      </c>
      <c r="M63" s="107">
        <v>0.052</v>
      </c>
      <c r="N63" s="108" t="s">
        <v>86</v>
      </c>
      <c r="O63" s="109"/>
      <c r="P63" s="110"/>
    </row>
    <row r="64" outlineLevel="1">
      <c r="A64" s="97"/>
      <c r="B64" s="98"/>
      <c r="C64" s="142" t="s">
        <v>92</v>
      </c>
      <c r="D64" s="100">
        <v>100.0</v>
      </c>
      <c r="E64" s="101">
        <v>7.0</v>
      </c>
      <c r="F64" s="102">
        <f t="shared" si="1"/>
        <v>0.4837819048</v>
      </c>
      <c r="G64" s="103">
        <f t="shared" si="2"/>
        <v>3.386473333</v>
      </c>
      <c r="H64" s="103">
        <f t="shared" si="3"/>
        <v>3.613526667</v>
      </c>
      <c r="I64" s="89">
        <f t="shared" si="6"/>
        <v>2.863333333</v>
      </c>
      <c r="J64" s="104">
        <v>30.0</v>
      </c>
      <c r="K64" s="111">
        <v>78.04</v>
      </c>
      <c r="L64" s="106">
        <v>0.21</v>
      </c>
      <c r="M64" s="107">
        <v>0.052</v>
      </c>
      <c r="N64" s="108" t="s">
        <v>86</v>
      </c>
      <c r="O64" s="109"/>
      <c r="P64" s="110"/>
    </row>
    <row r="65">
      <c r="A65" s="97" t="s">
        <v>83</v>
      </c>
      <c r="B65" s="98" t="s">
        <v>94</v>
      </c>
      <c r="C65" s="99" t="s">
        <v>95</v>
      </c>
      <c r="D65" s="100">
        <v>33.0</v>
      </c>
      <c r="E65" s="101">
        <v>2.0</v>
      </c>
      <c r="F65" s="102">
        <f t="shared" si="1"/>
        <v>0.48889</v>
      </c>
      <c r="G65" s="103">
        <f t="shared" si="2"/>
        <v>0.97778</v>
      </c>
      <c r="H65" s="103">
        <f t="shared" si="3"/>
        <v>1.02222</v>
      </c>
      <c r="I65" s="89">
        <v>0.81</v>
      </c>
      <c r="J65" s="104">
        <v>24.0</v>
      </c>
      <c r="K65" s="105">
        <v>23.53</v>
      </c>
      <c r="L65" s="106">
        <v>0.21</v>
      </c>
      <c r="M65" s="107">
        <v>0.052</v>
      </c>
      <c r="N65" s="108" t="s">
        <v>63</v>
      </c>
      <c r="O65" s="109"/>
      <c r="P65" s="110"/>
    </row>
    <row r="66">
      <c r="A66" s="97" t="s">
        <v>83</v>
      </c>
      <c r="B66" s="98" t="s">
        <v>94</v>
      </c>
      <c r="C66" s="99" t="s">
        <v>96</v>
      </c>
      <c r="D66" s="100">
        <v>33.0</v>
      </c>
      <c r="E66" s="101">
        <v>2.0</v>
      </c>
      <c r="F66" s="102">
        <f t="shared" si="1"/>
        <v>0.2493729167</v>
      </c>
      <c r="G66" s="103">
        <f t="shared" si="2"/>
        <v>0.4987458333</v>
      </c>
      <c r="H66" s="103">
        <f t="shared" si="3"/>
        <v>1.501254167</v>
      </c>
      <c r="I66" s="89">
        <f t="shared" ref="I66:I100" si="7">K66/J66</f>
        <v>1.189583333</v>
      </c>
      <c r="J66" s="104">
        <v>24.0</v>
      </c>
      <c r="K66" s="111">
        <v>28.55</v>
      </c>
      <c r="L66" s="106">
        <v>0.21</v>
      </c>
      <c r="M66" s="107">
        <v>0.052</v>
      </c>
      <c r="N66" s="108" t="s">
        <v>52</v>
      </c>
      <c r="O66" s="109"/>
      <c r="P66" s="110"/>
    </row>
    <row r="67">
      <c r="A67" s="97" t="s">
        <v>83</v>
      </c>
      <c r="B67" s="98" t="s">
        <v>94</v>
      </c>
      <c r="C67" s="99" t="s">
        <v>97</v>
      </c>
      <c r="D67" s="100">
        <v>33.0</v>
      </c>
      <c r="E67" s="101">
        <v>1.5</v>
      </c>
      <c r="F67" s="102">
        <f t="shared" si="1"/>
        <v>1</v>
      </c>
      <c r="G67" s="103">
        <f t="shared" si="2"/>
        <v>1.5</v>
      </c>
      <c r="H67" s="103">
        <f t="shared" si="3"/>
        <v>0</v>
      </c>
      <c r="I67" s="89">
        <f t="shared" si="7"/>
        <v>0</v>
      </c>
      <c r="J67" s="104">
        <v>1.0</v>
      </c>
      <c r="K67" s="111"/>
      <c r="L67" s="106">
        <v>0.21</v>
      </c>
      <c r="M67" s="107">
        <v>0.052</v>
      </c>
      <c r="N67" s="108"/>
      <c r="O67" s="109"/>
      <c r="P67" s="110"/>
    </row>
    <row r="68">
      <c r="A68" s="97" t="s">
        <v>83</v>
      </c>
      <c r="B68" s="98" t="s">
        <v>94</v>
      </c>
      <c r="C68" s="99" t="s">
        <v>98</v>
      </c>
      <c r="D68" s="100">
        <v>33.0</v>
      </c>
      <c r="E68" s="101">
        <v>2.0</v>
      </c>
      <c r="F68" s="102">
        <f t="shared" si="1"/>
        <v>1</v>
      </c>
      <c r="G68" s="103">
        <f t="shared" si="2"/>
        <v>2</v>
      </c>
      <c r="H68" s="103">
        <f t="shared" si="3"/>
        <v>0</v>
      </c>
      <c r="I68" s="89">
        <f t="shared" si="7"/>
        <v>0</v>
      </c>
      <c r="J68" s="104">
        <v>1.0</v>
      </c>
      <c r="K68" s="111"/>
      <c r="L68" s="106">
        <v>0.21</v>
      </c>
      <c r="M68" s="107">
        <v>0.052</v>
      </c>
      <c r="N68" s="108"/>
      <c r="O68" s="109"/>
      <c r="P68" s="110"/>
    </row>
    <row r="69">
      <c r="A69" s="97" t="s">
        <v>83</v>
      </c>
      <c r="B69" s="98" t="s">
        <v>94</v>
      </c>
      <c r="C69" s="99" t="s">
        <v>99</v>
      </c>
      <c r="D69" s="100">
        <v>33.0</v>
      </c>
      <c r="E69" s="101">
        <v>2.0</v>
      </c>
      <c r="F69" s="102">
        <f t="shared" si="1"/>
        <v>1</v>
      </c>
      <c r="G69" s="103">
        <f t="shared" si="2"/>
        <v>2</v>
      </c>
      <c r="H69" s="103">
        <f t="shared" si="3"/>
        <v>0</v>
      </c>
      <c r="I69" s="89">
        <f t="shared" si="7"/>
        <v>0</v>
      </c>
      <c r="J69" s="104">
        <v>1.0</v>
      </c>
      <c r="K69" s="111"/>
      <c r="L69" s="106">
        <v>0.21</v>
      </c>
      <c r="M69" s="107">
        <v>0.052</v>
      </c>
      <c r="N69" s="108"/>
      <c r="O69" s="109"/>
      <c r="P69" s="110"/>
    </row>
    <row r="70">
      <c r="A70" s="97" t="s">
        <v>83</v>
      </c>
      <c r="B70" s="98" t="s">
        <v>94</v>
      </c>
      <c r="C70" s="99" t="s">
        <v>100</v>
      </c>
      <c r="D70" s="100">
        <v>20.0</v>
      </c>
      <c r="E70" s="101">
        <v>1.1</v>
      </c>
      <c r="F70" s="102">
        <f t="shared" si="1"/>
        <v>1</v>
      </c>
      <c r="G70" s="103">
        <f t="shared" si="2"/>
        <v>1.1</v>
      </c>
      <c r="H70" s="103">
        <f t="shared" si="3"/>
        <v>0</v>
      </c>
      <c r="I70" s="89">
        <f t="shared" si="7"/>
        <v>0</v>
      </c>
      <c r="J70" s="104">
        <v>1.0</v>
      </c>
      <c r="K70" s="111"/>
      <c r="L70" s="106">
        <v>0.21</v>
      </c>
      <c r="M70" s="107">
        <v>0.052</v>
      </c>
      <c r="N70" s="108"/>
      <c r="O70" s="109"/>
      <c r="P70" s="110"/>
    </row>
    <row r="71">
      <c r="A71" s="97" t="s">
        <v>83</v>
      </c>
      <c r="B71" s="98" t="s">
        <v>94</v>
      </c>
      <c r="C71" s="99" t="s">
        <v>101</v>
      </c>
      <c r="D71" s="100">
        <v>33.0</v>
      </c>
      <c r="E71" s="101">
        <v>1.6</v>
      </c>
      <c r="F71" s="102">
        <f t="shared" si="1"/>
        <v>0.2404994792</v>
      </c>
      <c r="G71" s="103">
        <f t="shared" si="2"/>
        <v>0.3847991667</v>
      </c>
      <c r="H71" s="103">
        <f t="shared" si="3"/>
        <v>1.215200833</v>
      </c>
      <c r="I71" s="89">
        <f t="shared" si="7"/>
        <v>0.9629166667</v>
      </c>
      <c r="J71" s="104">
        <v>24.0</v>
      </c>
      <c r="K71" s="111">
        <v>23.11</v>
      </c>
      <c r="L71" s="106">
        <v>0.21</v>
      </c>
      <c r="M71" s="107">
        <v>0.052</v>
      </c>
      <c r="N71" s="108" t="s">
        <v>86</v>
      </c>
      <c r="O71" s="109"/>
      <c r="P71" s="110"/>
    </row>
    <row r="72">
      <c r="A72" s="97" t="s">
        <v>83</v>
      </c>
      <c r="B72" s="98" t="s">
        <v>94</v>
      </c>
      <c r="C72" s="99" t="s">
        <v>102</v>
      </c>
      <c r="D72" s="100">
        <v>100.0</v>
      </c>
      <c r="E72" s="101">
        <v>2.0</v>
      </c>
      <c r="F72" s="102">
        <f t="shared" si="1"/>
        <v>0.1586666667</v>
      </c>
      <c r="G72" s="103">
        <f t="shared" si="2"/>
        <v>0.3173333333</v>
      </c>
      <c r="H72" s="103">
        <f t="shared" si="3"/>
        <v>1.682666667</v>
      </c>
      <c r="I72" s="89">
        <f t="shared" si="7"/>
        <v>1.333333333</v>
      </c>
      <c r="J72" s="104">
        <v>6.0</v>
      </c>
      <c r="K72" s="111">
        <v>8.0</v>
      </c>
      <c r="L72" s="106">
        <v>0.21</v>
      </c>
      <c r="M72" s="107">
        <v>0.052</v>
      </c>
      <c r="N72" s="108" t="s">
        <v>103</v>
      </c>
      <c r="O72" s="109"/>
      <c r="P72" s="110"/>
    </row>
    <row r="73">
      <c r="A73" s="97" t="s">
        <v>83</v>
      </c>
      <c r="B73" s="98" t="s">
        <v>94</v>
      </c>
      <c r="C73" s="99" t="s">
        <v>104</v>
      </c>
      <c r="D73" s="100">
        <v>20.0</v>
      </c>
      <c r="E73" s="101">
        <v>1.1</v>
      </c>
      <c r="F73" s="102">
        <f t="shared" si="1"/>
        <v>1</v>
      </c>
      <c r="G73" s="103">
        <f t="shared" si="2"/>
        <v>1.1</v>
      </c>
      <c r="H73" s="103">
        <f t="shared" si="3"/>
        <v>0</v>
      </c>
      <c r="I73" s="89">
        <f t="shared" si="7"/>
        <v>0</v>
      </c>
      <c r="J73" s="104">
        <v>1.0</v>
      </c>
      <c r="K73" s="111"/>
      <c r="L73" s="106">
        <v>0.21</v>
      </c>
      <c r="M73" s="107">
        <v>0.052</v>
      </c>
      <c r="N73" s="108"/>
      <c r="O73" s="109"/>
      <c r="P73" s="110"/>
    </row>
    <row r="74">
      <c r="A74" s="97" t="s">
        <v>83</v>
      </c>
      <c r="B74" s="98" t="s">
        <v>105</v>
      </c>
      <c r="C74" s="99" t="s">
        <v>106</v>
      </c>
      <c r="D74" s="100">
        <v>30.0</v>
      </c>
      <c r="E74" s="101">
        <v>1.6</v>
      </c>
      <c r="F74" s="102">
        <f t="shared" si="1"/>
        <v>0.5097239583</v>
      </c>
      <c r="G74" s="103">
        <f t="shared" si="2"/>
        <v>0.8155583333</v>
      </c>
      <c r="H74" s="103">
        <f t="shared" si="3"/>
        <v>0.7844416667</v>
      </c>
      <c r="I74" s="89">
        <f t="shared" si="7"/>
        <v>0.7041666667</v>
      </c>
      <c r="J74" s="104">
        <v>48.0</v>
      </c>
      <c r="K74" s="111">
        <v>33.8</v>
      </c>
      <c r="L74" s="106">
        <v>0.1</v>
      </c>
      <c r="M74" s="107">
        <v>0.014</v>
      </c>
      <c r="N74" s="108"/>
      <c r="O74" s="109"/>
      <c r="P74" s="110"/>
    </row>
    <row r="75">
      <c r="A75" s="97" t="s">
        <v>83</v>
      </c>
      <c r="B75" s="98" t="s">
        <v>105</v>
      </c>
      <c r="C75" s="99" t="s">
        <v>107</v>
      </c>
      <c r="D75" s="100">
        <v>33.0</v>
      </c>
      <c r="E75" s="101">
        <v>2.0</v>
      </c>
      <c r="F75" s="102">
        <f t="shared" si="1"/>
        <v>0.3153541667</v>
      </c>
      <c r="G75" s="103">
        <f t="shared" si="2"/>
        <v>0.6307083333</v>
      </c>
      <c r="H75" s="103">
        <f t="shared" si="3"/>
        <v>1.369291667</v>
      </c>
      <c r="I75" s="89">
        <f t="shared" si="7"/>
        <v>1.229166667</v>
      </c>
      <c r="J75" s="104">
        <v>24.0</v>
      </c>
      <c r="K75" s="111">
        <v>29.5</v>
      </c>
      <c r="L75" s="106">
        <v>0.1</v>
      </c>
      <c r="M75" s="107">
        <v>0.014</v>
      </c>
      <c r="N75" s="108" t="s">
        <v>52</v>
      </c>
      <c r="O75" s="109"/>
      <c r="P75" s="110"/>
    </row>
    <row r="76">
      <c r="A76" s="97" t="s">
        <v>83</v>
      </c>
      <c r="B76" s="98" t="s">
        <v>94</v>
      </c>
      <c r="C76" s="99" t="s">
        <v>108</v>
      </c>
      <c r="D76" s="100">
        <v>33.0</v>
      </c>
      <c r="E76" s="101">
        <v>2.0</v>
      </c>
      <c r="F76" s="102">
        <f t="shared" si="1"/>
        <v>0.2243958333</v>
      </c>
      <c r="G76" s="103">
        <f t="shared" si="2"/>
        <v>0.4487916667</v>
      </c>
      <c r="H76" s="103">
        <f t="shared" si="3"/>
        <v>1.551208333</v>
      </c>
      <c r="I76" s="89">
        <f t="shared" si="7"/>
        <v>1.229166667</v>
      </c>
      <c r="J76" s="104">
        <v>24.0</v>
      </c>
      <c r="K76" s="111">
        <v>29.5</v>
      </c>
      <c r="L76" s="106">
        <v>0.21</v>
      </c>
      <c r="M76" s="107">
        <v>0.052</v>
      </c>
      <c r="N76" s="108" t="s">
        <v>52</v>
      </c>
      <c r="O76" s="109"/>
      <c r="P76" s="110"/>
    </row>
    <row r="77">
      <c r="A77" s="97" t="s">
        <v>83</v>
      </c>
      <c r="B77" s="98" t="s">
        <v>94</v>
      </c>
      <c r="C77" s="144" t="s">
        <v>109</v>
      </c>
      <c r="D77" s="100">
        <v>20.0</v>
      </c>
      <c r="E77" s="101">
        <v>1.2</v>
      </c>
      <c r="F77" s="102">
        <f t="shared" si="1"/>
        <v>0.2758836806</v>
      </c>
      <c r="G77" s="103">
        <f t="shared" si="2"/>
        <v>0.3310604167</v>
      </c>
      <c r="H77" s="103">
        <f t="shared" si="3"/>
        <v>0.8689395833</v>
      </c>
      <c r="I77" s="89">
        <f t="shared" si="7"/>
        <v>0.6885416667</v>
      </c>
      <c r="J77" s="104">
        <v>96.0</v>
      </c>
      <c r="K77" s="105">
        <v>66.1</v>
      </c>
      <c r="L77" s="106">
        <v>0.21</v>
      </c>
      <c r="M77" s="107">
        <v>0.052</v>
      </c>
      <c r="N77" s="108" t="s">
        <v>63</v>
      </c>
      <c r="O77" s="109"/>
      <c r="P77" s="110"/>
    </row>
    <row r="78">
      <c r="A78" s="97" t="s">
        <v>83</v>
      </c>
      <c r="B78" s="98" t="s">
        <v>94</v>
      </c>
      <c r="C78" s="99" t="s">
        <v>110</v>
      </c>
      <c r="D78" s="100">
        <v>33.0</v>
      </c>
      <c r="E78" s="101">
        <v>1.6</v>
      </c>
      <c r="F78" s="102">
        <f t="shared" si="1"/>
        <v>0.30984375</v>
      </c>
      <c r="G78" s="103">
        <f t="shared" si="2"/>
        <v>0.49575</v>
      </c>
      <c r="H78" s="103">
        <f t="shared" si="3"/>
        <v>1.10425</v>
      </c>
      <c r="I78" s="89">
        <f t="shared" si="7"/>
        <v>0.875</v>
      </c>
      <c r="J78" s="104">
        <v>96.0</v>
      </c>
      <c r="K78" s="105">
        <v>84.0</v>
      </c>
      <c r="L78" s="106">
        <v>0.21</v>
      </c>
      <c r="M78" s="107">
        <v>0.052</v>
      </c>
      <c r="N78" s="108" t="s">
        <v>63</v>
      </c>
      <c r="O78" s="109"/>
      <c r="P78" s="110"/>
    </row>
    <row r="79">
      <c r="A79" s="97" t="s">
        <v>83</v>
      </c>
      <c r="B79" s="98" t="s">
        <v>105</v>
      </c>
      <c r="C79" s="99" t="s">
        <v>111</v>
      </c>
      <c r="D79" s="100">
        <v>20.0</v>
      </c>
      <c r="E79" s="101">
        <v>1.2</v>
      </c>
      <c r="F79" s="102">
        <f t="shared" si="1"/>
        <v>1</v>
      </c>
      <c r="G79" s="103">
        <f t="shared" si="2"/>
        <v>1.2</v>
      </c>
      <c r="H79" s="103">
        <f t="shared" si="3"/>
        <v>0</v>
      </c>
      <c r="I79" s="89">
        <f t="shared" si="7"/>
        <v>0</v>
      </c>
      <c r="J79" s="104">
        <v>1.0</v>
      </c>
      <c r="K79" s="111"/>
      <c r="L79" s="106">
        <v>0.1</v>
      </c>
      <c r="M79" s="107">
        <v>0.014</v>
      </c>
      <c r="N79" s="108"/>
      <c r="O79" s="109"/>
      <c r="P79" s="110"/>
    </row>
    <row r="80">
      <c r="A80" s="97" t="s">
        <v>83</v>
      </c>
      <c r="B80" s="98" t="s">
        <v>105</v>
      </c>
      <c r="C80" s="99" t="s">
        <v>112</v>
      </c>
      <c r="D80" s="100">
        <v>20.0</v>
      </c>
      <c r="E80" s="101">
        <v>1.2</v>
      </c>
      <c r="F80" s="102">
        <f t="shared" si="1"/>
        <v>1</v>
      </c>
      <c r="G80" s="103">
        <f t="shared" si="2"/>
        <v>1.2</v>
      </c>
      <c r="H80" s="103">
        <f t="shared" si="3"/>
        <v>0</v>
      </c>
      <c r="I80" s="89">
        <f t="shared" si="7"/>
        <v>0</v>
      </c>
      <c r="J80" s="104">
        <v>1.0</v>
      </c>
      <c r="K80" s="111"/>
      <c r="L80" s="106">
        <v>0.1</v>
      </c>
      <c r="M80" s="107">
        <v>0.014</v>
      </c>
      <c r="N80" s="108"/>
      <c r="O80" s="109"/>
      <c r="P80" s="110"/>
    </row>
    <row r="81">
      <c r="A81" s="97" t="s">
        <v>83</v>
      </c>
      <c r="B81" s="98" t="s">
        <v>113</v>
      </c>
      <c r="C81" s="99" t="s">
        <v>114</v>
      </c>
      <c r="D81" s="100">
        <v>20.0</v>
      </c>
      <c r="E81" s="101">
        <v>1.5</v>
      </c>
      <c r="F81" s="102">
        <f t="shared" si="1"/>
        <v>1</v>
      </c>
      <c r="G81" s="103">
        <f t="shared" si="2"/>
        <v>1.5</v>
      </c>
      <c r="H81" s="103">
        <f t="shared" si="3"/>
        <v>0</v>
      </c>
      <c r="I81" s="89">
        <f t="shared" si="7"/>
        <v>0</v>
      </c>
      <c r="J81" s="104">
        <v>1.0</v>
      </c>
      <c r="K81" s="111"/>
      <c r="L81" s="106">
        <v>0.21</v>
      </c>
      <c r="M81" s="107">
        <v>0.052</v>
      </c>
      <c r="N81" s="108"/>
      <c r="O81" s="109"/>
      <c r="P81" s="110"/>
    </row>
    <row r="82">
      <c r="A82" s="97" t="s">
        <v>83</v>
      </c>
      <c r="B82" s="98" t="s">
        <v>94</v>
      </c>
      <c r="C82" s="99" t="s">
        <v>115</v>
      </c>
      <c r="D82" s="100">
        <v>30.0</v>
      </c>
      <c r="E82" s="101">
        <v>2.0</v>
      </c>
      <c r="F82" s="102">
        <f t="shared" si="1"/>
        <v>1</v>
      </c>
      <c r="G82" s="103">
        <f t="shared" si="2"/>
        <v>2</v>
      </c>
      <c r="H82" s="103">
        <f t="shared" si="3"/>
        <v>0</v>
      </c>
      <c r="I82" s="89">
        <f t="shared" si="7"/>
        <v>0</v>
      </c>
      <c r="J82" s="104">
        <v>1.0</v>
      </c>
      <c r="K82" s="111"/>
      <c r="L82" s="106">
        <v>0.21</v>
      </c>
      <c r="M82" s="107">
        <v>0.052</v>
      </c>
      <c r="N82" s="108"/>
      <c r="O82" s="109"/>
      <c r="P82" s="110"/>
    </row>
    <row r="83">
      <c r="A83" s="112" t="s">
        <v>83</v>
      </c>
      <c r="B83" s="113" t="s">
        <v>94</v>
      </c>
      <c r="C83" s="114" t="s">
        <v>116</v>
      </c>
      <c r="D83" s="115">
        <v>30.0</v>
      </c>
      <c r="E83" s="116">
        <v>2.0</v>
      </c>
      <c r="F83" s="117">
        <f t="shared" si="1"/>
        <v>1</v>
      </c>
      <c r="G83" s="118">
        <f t="shared" si="2"/>
        <v>2</v>
      </c>
      <c r="H83" s="118">
        <f t="shared" si="3"/>
        <v>0</v>
      </c>
      <c r="I83" s="119">
        <f t="shared" si="7"/>
        <v>0</v>
      </c>
      <c r="J83" s="120">
        <v>1.0</v>
      </c>
      <c r="K83" s="121"/>
      <c r="L83" s="122">
        <v>0.21</v>
      </c>
      <c r="M83" s="123">
        <v>0.052</v>
      </c>
      <c r="N83" s="124"/>
      <c r="O83" s="125"/>
      <c r="P83" s="126"/>
    </row>
    <row r="84">
      <c r="A84" s="127" t="s">
        <v>117</v>
      </c>
      <c r="B84" s="128" t="s">
        <v>118</v>
      </c>
      <c r="C84" s="129" t="s">
        <v>119</v>
      </c>
      <c r="D84" s="130">
        <v>100.0</v>
      </c>
      <c r="E84" s="131">
        <v>15.0</v>
      </c>
      <c r="F84" s="132">
        <f t="shared" si="1"/>
        <v>0.9158666667</v>
      </c>
      <c r="G84" s="133">
        <f t="shared" si="2"/>
        <v>13.738</v>
      </c>
      <c r="H84" s="133">
        <f t="shared" si="3"/>
        <v>1.262</v>
      </c>
      <c r="I84" s="119">
        <f t="shared" si="7"/>
        <v>1</v>
      </c>
      <c r="J84" s="135">
        <v>1.0</v>
      </c>
      <c r="K84" s="136">
        <v>1.0</v>
      </c>
      <c r="L84" s="137">
        <v>0.21</v>
      </c>
      <c r="M84" s="138">
        <v>0.052</v>
      </c>
      <c r="N84" s="139"/>
      <c r="O84" s="140"/>
      <c r="P84" s="141"/>
    </row>
    <row r="85">
      <c r="A85" s="97"/>
      <c r="B85" s="98"/>
      <c r="C85" s="142" t="s">
        <v>120</v>
      </c>
      <c r="D85" s="100">
        <v>20.0</v>
      </c>
      <c r="E85" s="101">
        <v>2.0</v>
      </c>
      <c r="F85" s="102">
        <f t="shared" si="1"/>
        <v>1</v>
      </c>
      <c r="G85" s="103">
        <f t="shared" si="2"/>
        <v>2</v>
      </c>
      <c r="H85" s="103">
        <f t="shared" si="3"/>
        <v>0</v>
      </c>
      <c r="I85" s="119">
        <f t="shared" si="7"/>
        <v>0</v>
      </c>
      <c r="J85" s="104">
        <v>1.0</v>
      </c>
      <c r="K85" s="111"/>
      <c r="L85" s="106">
        <v>0.21</v>
      </c>
      <c r="M85" s="107">
        <v>0.052</v>
      </c>
      <c r="N85" s="108"/>
      <c r="O85" s="109"/>
      <c r="P85" s="110"/>
    </row>
    <row r="86">
      <c r="A86" s="97" t="s">
        <v>117</v>
      </c>
      <c r="B86" s="98" t="s">
        <v>121</v>
      </c>
      <c r="C86" s="99" t="s">
        <v>122</v>
      </c>
      <c r="D86" s="100">
        <v>100.0</v>
      </c>
      <c r="E86" s="101">
        <v>8.0</v>
      </c>
      <c r="F86" s="102">
        <f t="shared" si="1"/>
        <v>0.3611125</v>
      </c>
      <c r="G86" s="103">
        <f t="shared" si="2"/>
        <v>2.8889</v>
      </c>
      <c r="H86" s="103">
        <f t="shared" si="3"/>
        <v>5.1111</v>
      </c>
      <c r="I86" s="119">
        <f t="shared" si="7"/>
        <v>4.05</v>
      </c>
      <c r="J86" s="104">
        <v>1.0</v>
      </c>
      <c r="K86" s="105">
        <v>4.05</v>
      </c>
      <c r="L86" s="106">
        <v>0.21</v>
      </c>
      <c r="M86" s="107">
        <v>0.052</v>
      </c>
      <c r="N86" s="108"/>
      <c r="O86" s="109"/>
      <c r="P86" s="110"/>
    </row>
    <row r="87">
      <c r="A87" s="97"/>
      <c r="B87" s="98"/>
      <c r="C87" s="142" t="s">
        <v>120</v>
      </c>
      <c r="D87" s="100">
        <v>20.0</v>
      </c>
      <c r="E87" s="101">
        <v>1.5</v>
      </c>
      <c r="F87" s="102">
        <f t="shared" si="1"/>
        <v>0.31852</v>
      </c>
      <c r="G87" s="103">
        <f t="shared" si="2"/>
        <v>0.47778</v>
      </c>
      <c r="H87" s="103">
        <f t="shared" si="3"/>
        <v>1.02222</v>
      </c>
      <c r="I87" s="119">
        <f t="shared" si="7"/>
        <v>0.81</v>
      </c>
      <c r="J87" s="104">
        <v>5.0</v>
      </c>
      <c r="K87" s="105">
        <v>4.05</v>
      </c>
      <c r="L87" s="106">
        <v>0.21</v>
      </c>
      <c r="M87" s="107">
        <v>0.052</v>
      </c>
      <c r="N87" s="108"/>
      <c r="O87" s="109"/>
      <c r="P87" s="110"/>
    </row>
    <row r="88">
      <c r="A88" s="97" t="s">
        <v>117</v>
      </c>
      <c r="B88" s="98" t="s">
        <v>123</v>
      </c>
      <c r="C88" s="99" t="s">
        <v>124</v>
      </c>
      <c r="D88" s="100">
        <v>100.0</v>
      </c>
      <c r="E88" s="101">
        <v>8.0</v>
      </c>
      <c r="F88" s="102">
        <f t="shared" si="1"/>
        <v>0.3611125</v>
      </c>
      <c r="G88" s="103">
        <f t="shared" si="2"/>
        <v>2.8889</v>
      </c>
      <c r="H88" s="103">
        <f t="shared" si="3"/>
        <v>5.1111</v>
      </c>
      <c r="I88" s="119">
        <f t="shared" si="7"/>
        <v>4.05</v>
      </c>
      <c r="J88" s="104">
        <v>1.0</v>
      </c>
      <c r="K88" s="105">
        <v>4.05</v>
      </c>
      <c r="L88" s="106">
        <v>0.21</v>
      </c>
      <c r="M88" s="107">
        <v>0.052</v>
      </c>
      <c r="N88" s="108" t="s">
        <v>63</v>
      </c>
      <c r="O88" s="109"/>
      <c r="P88" s="110"/>
    </row>
    <row r="89">
      <c r="A89" s="97"/>
      <c r="B89" s="98"/>
      <c r="C89" s="142" t="s">
        <v>120</v>
      </c>
      <c r="D89" s="100">
        <v>20.0</v>
      </c>
      <c r="E89" s="101">
        <v>1.5</v>
      </c>
      <c r="F89" s="102">
        <f t="shared" si="1"/>
        <v>0.31852</v>
      </c>
      <c r="G89" s="103">
        <f t="shared" si="2"/>
        <v>0.47778</v>
      </c>
      <c r="H89" s="103">
        <f t="shared" si="3"/>
        <v>1.02222</v>
      </c>
      <c r="I89" s="119">
        <f t="shared" si="7"/>
        <v>0.81</v>
      </c>
      <c r="J89" s="104">
        <v>5.0</v>
      </c>
      <c r="K89" s="105">
        <v>4.05</v>
      </c>
      <c r="L89" s="106">
        <v>0.21</v>
      </c>
      <c r="M89" s="107">
        <v>0.052</v>
      </c>
      <c r="N89" s="108"/>
      <c r="O89" s="109"/>
      <c r="P89" s="110"/>
    </row>
    <row r="90">
      <c r="A90" s="97" t="s">
        <v>117</v>
      </c>
      <c r="B90" s="98" t="s">
        <v>123</v>
      </c>
      <c r="C90" s="99" t="s">
        <v>125</v>
      </c>
      <c r="D90" s="100">
        <v>100.0</v>
      </c>
      <c r="E90" s="101">
        <v>20.0</v>
      </c>
      <c r="F90" s="102">
        <f t="shared" si="1"/>
        <v>1</v>
      </c>
      <c r="G90" s="103">
        <f t="shared" si="2"/>
        <v>20</v>
      </c>
      <c r="H90" s="103">
        <f t="shared" si="3"/>
        <v>0</v>
      </c>
      <c r="I90" s="119">
        <f t="shared" si="7"/>
        <v>0</v>
      </c>
      <c r="J90" s="104">
        <v>1.0</v>
      </c>
      <c r="K90" s="111"/>
      <c r="L90" s="106">
        <v>0.21</v>
      </c>
      <c r="M90" s="107">
        <v>0.052</v>
      </c>
      <c r="N90" s="108"/>
      <c r="O90" s="109"/>
      <c r="P90" s="110"/>
    </row>
    <row r="91">
      <c r="A91" s="97" t="s">
        <v>117</v>
      </c>
      <c r="B91" s="98" t="s">
        <v>123</v>
      </c>
      <c r="C91" s="99" t="s">
        <v>126</v>
      </c>
      <c r="D91" s="100">
        <v>100.0</v>
      </c>
      <c r="E91" s="101">
        <v>15.0</v>
      </c>
      <c r="F91" s="102">
        <f t="shared" si="1"/>
        <v>1</v>
      </c>
      <c r="G91" s="103">
        <f t="shared" si="2"/>
        <v>15</v>
      </c>
      <c r="H91" s="103">
        <f t="shared" si="3"/>
        <v>0</v>
      </c>
      <c r="I91" s="119">
        <f t="shared" si="7"/>
        <v>0</v>
      </c>
      <c r="J91" s="104">
        <v>1.0</v>
      </c>
      <c r="K91" s="111"/>
      <c r="L91" s="106">
        <v>0.21</v>
      </c>
      <c r="M91" s="107">
        <v>0.052</v>
      </c>
      <c r="N91" s="108"/>
      <c r="O91" s="109"/>
      <c r="P91" s="110"/>
    </row>
    <row r="92">
      <c r="A92" s="97"/>
      <c r="B92" s="98"/>
      <c r="C92" s="142" t="s">
        <v>120</v>
      </c>
      <c r="D92" s="100">
        <v>20.0</v>
      </c>
      <c r="E92" s="101">
        <v>2.0</v>
      </c>
      <c r="F92" s="102">
        <f t="shared" si="1"/>
        <v>1</v>
      </c>
      <c r="G92" s="103">
        <f t="shared" si="2"/>
        <v>2</v>
      </c>
      <c r="H92" s="103">
        <f t="shared" si="3"/>
        <v>0</v>
      </c>
      <c r="I92" s="119">
        <f t="shared" si="7"/>
        <v>0</v>
      </c>
      <c r="J92" s="104">
        <v>1.0</v>
      </c>
      <c r="K92" s="111"/>
      <c r="L92" s="106">
        <v>0.21</v>
      </c>
      <c r="M92" s="107">
        <v>0.052</v>
      </c>
      <c r="N92" s="108"/>
      <c r="O92" s="109"/>
      <c r="P92" s="110"/>
    </row>
    <row r="93">
      <c r="A93" s="97" t="s">
        <v>117</v>
      </c>
      <c r="B93" s="98" t="s">
        <v>121</v>
      </c>
      <c r="C93" s="99" t="s">
        <v>127</v>
      </c>
      <c r="D93" s="100">
        <v>100.0</v>
      </c>
      <c r="E93" s="101">
        <v>15.0</v>
      </c>
      <c r="F93" s="102">
        <f t="shared" si="1"/>
        <v>1</v>
      </c>
      <c r="G93" s="103">
        <f t="shared" si="2"/>
        <v>15</v>
      </c>
      <c r="H93" s="103">
        <f t="shared" si="3"/>
        <v>0</v>
      </c>
      <c r="I93" s="119">
        <f t="shared" si="7"/>
        <v>0</v>
      </c>
      <c r="J93" s="104">
        <v>1.0</v>
      </c>
      <c r="K93" s="111"/>
      <c r="L93" s="106">
        <v>0.21</v>
      </c>
      <c r="M93" s="107">
        <v>0.052</v>
      </c>
      <c r="N93" s="108"/>
      <c r="O93" s="109"/>
      <c r="P93" s="110"/>
    </row>
    <row r="94">
      <c r="A94" s="97"/>
      <c r="B94" s="98"/>
      <c r="C94" s="142" t="s">
        <v>120</v>
      </c>
      <c r="D94" s="100">
        <v>20.0</v>
      </c>
      <c r="E94" s="101">
        <v>2.0</v>
      </c>
      <c r="F94" s="102">
        <f t="shared" si="1"/>
        <v>1</v>
      </c>
      <c r="G94" s="103">
        <f t="shared" si="2"/>
        <v>2</v>
      </c>
      <c r="H94" s="103">
        <f t="shared" si="3"/>
        <v>0</v>
      </c>
      <c r="I94" s="119">
        <f t="shared" si="7"/>
        <v>0</v>
      </c>
      <c r="J94" s="104">
        <v>1.0</v>
      </c>
      <c r="K94" s="111"/>
      <c r="L94" s="106">
        <v>0.21</v>
      </c>
      <c r="M94" s="107">
        <v>0.052</v>
      </c>
      <c r="N94" s="108"/>
      <c r="O94" s="109"/>
      <c r="P94" s="110"/>
    </row>
    <row r="95">
      <c r="A95" s="97" t="s">
        <v>117</v>
      </c>
      <c r="B95" s="98" t="s">
        <v>128</v>
      </c>
      <c r="C95" s="99" t="s">
        <v>129</v>
      </c>
      <c r="D95" s="100">
        <v>27.0</v>
      </c>
      <c r="E95" s="101">
        <v>2.0</v>
      </c>
      <c r="F95" s="102">
        <f t="shared" si="1"/>
        <v>0.3164166667</v>
      </c>
      <c r="G95" s="103">
        <f t="shared" si="2"/>
        <v>0.6328333333</v>
      </c>
      <c r="H95" s="103">
        <f t="shared" si="3"/>
        <v>1.367166667</v>
      </c>
      <c r="I95" s="89">
        <f t="shared" si="7"/>
        <v>1.083333333</v>
      </c>
      <c r="J95" s="104">
        <v>24.0</v>
      </c>
      <c r="K95" s="111">
        <v>26.0</v>
      </c>
      <c r="L95" s="106">
        <v>0.21</v>
      </c>
      <c r="M95" s="107">
        <v>0.052</v>
      </c>
      <c r="N95" s="108" t="s">
        <v>52</v>
      </c>
      <c r="O95" s="109"/>
      <c r="P95" s="110"/>
    </row>
    <row r="96">
      <c r="A96" s="97" t="s">
        <v>117</v>
      </c>
      <c r="B96" s="98" t="s">
        <v>128</v>
      </c>
      <c r="C96" s="99" t="s">
        <v>130</v>
      </c>
      <c r="D96" s="100">
        <v>30.0</v>
      </c>
      <c r="E96" s="101">
        <v>1.8</v>
      </c>
      <c r="F96" s="102">
        <f t="shared" si="1"/>
        <v>1</v>
      </c>
      <c r="G96" s="103">
        <f t="shared" si="2"/>
        <v>1.8</v>
      </c>
      <c r="H96" s="103">
        <f t="shared" si="3"/>
        <v>0</v>
      </c>
      <c r="I96" s="89">
        <f t="shared" si="7"/>
        <v>0</v>
      </c>
      <c r="J96" s="104">
        <v>1.0</v>
      </c>
      <c r="K96" s="111"/>
      <c r="L96" s="106">
        <v>0.21</v>
      </c>
      <c r="M96" s="107">
        <v>0.052</v>
      </c>
      <c r="N96" s="108"/>
      <c r="O96" s="109"/>
      <c r="P96" s="110"/>
    </row>
    <row r="97">
      <c r="A97" s="97" t="s">
        <v>117</v>
      </c>
      <c r="B97" s="98" t="s">
        <v>128</v>
      </c>
      <c r="C97" s="99" t="s">
        <v>131</v>
      </c>
      <c r="D97" s="100">
        <v>2000.0</v>
      </c>
      <c r="E97" s="101">
        <v>7.0</v>
      </c>
      <c r="F97" s="102">
        <f t="shared" si="1"/>
        <v>1</v>
      </c>
      <c r="G97" s="103">
        <f t="shared" si="2"/>
        <v>7</v>
      </c>
      <c r="H97" s="103">
        <f t="shared" si="3"/>
        <v>0</v>
      </c>
      <c r="I97" s="89">
        <f t="shared" si="7"/>
        <v>0</v>
      </c>
      <c r="J97" s="104">
        <v>1.0</v>
      </c>
      <c r="K97" s="111"/>
      <c r="L97" s="106">
        <v>0.21</v>
      </c>
      <c r="M97" s="107">
        <v>0.052</v>
      </c>
      <c r="N97" s="108"/>
      <c r="O97" s="109"/>
      <c r="P97" s="110"/>
    </row>
    <row r="98">
      <c r="A98" s="97"/>
      <c r="B98" s="98"/>
      <c r="C98" s="142" t="s">
        <v>120</v>
      </c>
      <c r="D98" s="100">
        <v>20.0</v>
      </c>
      <c r="E98" s="101">
        <v>1.6</v>
      </c>
      <c r="F98" s="102">
        <f t="shared" si="1"/>
        <v>1</v>
      </c>
      <c r="G98" s="103">
        <f t="shared" si="2"/>
        <v>1.6</v>
      </c>
      <c r="H98" s="103">
        <f t="shared" si="3"/>
        <v>0</v>
      </c>
      <c r="I98" s="89">
        <f t="shared" si="7"/>
        <v>0</v>
      </c>
      <c r="J98" s="104">
        <v>1.0</v>
      </c>
      <c r="K98" s="111"/>
      <c r="L98" s="106">
        <v>0.21</v>
      </c>
      <c r="M98" s="107">
        <v>0.052</v>
      </c>
      <c r="N98" s="108"/>
      <c r="O98" s="109"/>
      <c r="P98" s="110"/>
    </row>
    <row r="99">
      <c r="A99" s="97"/>
      <c r="B99" s="98"/>
      <c r="C99" s="142" t="s">
        <v>90</v>
      </c>
      <c r="D99" s="100">
        <v>50.0</v>
      </c>
      <c r="E99" s="101">
        <v>3.0</v>
      </c>
      <c r="F99" s="102">
        <f t="shared" si="1"/>
        <v>1</v>
      </c>
      <c r="G99" s="103">
        <f t="shared" si="2"/>
        <v>3</v>
      </c>
      <c r="H99" s="103">
        <f t="shared" si="3"/>
        <v>0</v>
      </c>
      <c r="I99" s="89">
        <f t="shared" si="7"/>
        <v>0</v>
      </c>
      <c r="J99" s="104">
        <v>1.0</v>
      </c>
      <c r="K99" s="111"/>
      <c r="L99" s="106">
        <v>0.21</v>
      </c>
      <c r="M99" s="107">
        <v>0.052</v>
      </c>
      <c r="N99" s="108"/>
      <c r="O99" s="109"/>
      <c r="P99" s="110"/>
    </row>
    <row r="100">
      <c r="A100" s="97" t="s">
        <v>117</v>
      </c>
      <c r="B100" s="98" t="s">
        <v>121</v>
      </c>
      <c r="C100" s="99" t="s">
        <v>132</v>
      </c>
      <c r="D100" s="100">
        <v>100.0</v>
      </c>
      <c r="E100" s="101">
        <v>6.0</v>
      </c>
      <c r="F100" s="102">
        <f t="shared" si="1"/>
        <v>0.369</v>
      </c>
      <c r="G100" s="103">
        <f t="shared" si="2"/>
        <v>2.214</v>
      </c>
      <c r="H100" s="103">
        <f t="shared" si="3"/>
        <v>3.786</v>
      </c>
      <c r="I100" s="89">
        <f t="shared" si="7"/>
        <v>3</v>
      </c>
      <c r="J100" s="104">
        <v>1.0</v>
      </c>
      <c r="K100" s="111">
        <v>3.0</v>
      </c>
      <c r="L100" s="106">
        <v>0.21</v>
      </c>
      <c r="M100" s="107">
        <v>0.052</v>
      </c>
      <c r="N100" s="108"/>
      <c r="O100" s="109"/>
      <c r="P100" s="110"/>
    </row>
    <row r="101">
      <c r="A101" s="97"/>
      <c r="B101" s="98"/>
      <c r="C101" s="142" t="s">
        <v>120</v>
      </c>
      <c r="D101" s="100">
        <v>20.0</v>
      </c>
      <c r="E101" s="101">
        <v>1.5</v>
      </c>
      <c r="F101" s="102">
        <f t="shared" si="1"/>
        <v>0.4952</v>
      </c>
      <c r="G101" s="103">
        <f t="shared" si="2"/>
        <v>0.7428</v>
      </c>
      <c r="H101" s="103">
        <f t="shared" si="3"/>
        <v>0.7572</v>
      </c>
      <c r="I101" s="89">
        <f>($I$100*D101)/$D$100</f>
        <v>0.6</v>
      </c>
      <c r="J101" s="104">
        <v>1.0</v>
      </c>
      <c r="K101" s="111"/>
      <c r="L101" s="106">
        <v>0.21</v>
      </c>
      <c r="M101" s="107">
        <v>0.052</v>
      </c>
      <c r="N101" s="108"/>
      <c r="O101" s="109"/>
      <c r="P101" s="110"/>
    </row>
    <row r="102">
      <c r="A102" s="97" t="s">
        <v>117</v>
      </c>
      <c r="B102" s="98" t="s">
        <v>118</v>
      </c>
      <c r="C102" s="99" t="s">
        <v>133</v>
      </c>
      <c r="D102" s="100">
        <v>100.0</v>
      </c>
      <c r="E102" s="101">
        <v>6.0</v>
      </c>
      <c r="F102" s="102">
        <f t="shared" si="1"/>
        <v>1</v>
      </c>
      <c r="G102" s="103">
        <f t="shared" si="2"/>
        <v>6</v>
      </c>
      <c r="H102" s="103">
        <f t="shared" si="3"/>
        <v>0</v>
      </c>
      <c r="I102" s="143"/>
      <c r="J102" s="104">
        <v>1.0</v>
      </c>
      <c r="K102" s="111"/>
      <c r="L102" s="106">
        <v>0.21</v>
      </c>
      <c r="M102" s="107">
        <v>0.052</v>
      </c>
      <c r="N102" s="108"/>
      <c r="O102" s="109"/>
      <c r="P102" s="110"/>
    </row>
    <row r="103">
      <c r="A103" s="97"/>
      <c r="B103" s="98"/>
      <c r="C103" s="142" t="s">
        <v>120</v>
      </c>
      <c r="D103" s="100">
        <v>20.0</v>
      </c>
      <c r="E103" s="101">
        <v>1.5</v>
      </c>
      <c r="F103" s="102">
        <f t="shared" si="1"/>
        <v>1</v>
      </c>
      <c r="G103" s="103">
        <f t="shared" si="2"/>
        <v>1.5</v>
      </c>
      <c r="H103" s="103">
        <f t="shared" si="3"/>
        <v>0</v>
      </c>
      <c r="I103" s="143"/>
      <c r="J103" s="104">
        <v>1.0</v>
      </c>
      <c r="K103" s="111"/>
      <c r="L103" s="106">
        <v>0.21</v>
      </c>
      <c r="M103" s="107">
        <v>0.052</v>
      </c>
      <c r="N103" s="108"/>
      <c r="O103" s="109"/>
      <c r="P103" s="110"/>
    </row>
    <row r="104">
      <c r="A104" s="97" t="s">
        <v>117</v>
      </c>
      <c r="B104" s="98" t="s">
        <v>134</v>
      </c>
      <c r="C104" s="99" t="s">
        <v>135</v>
      </c>
      <c r="D104" s="100">
        <v>100.0</v>
      </c>
      <c r="E104" s="101">
        <v>6.0</v>
      </c>
      <c r="F104" s="102">
        <f t="shared" si="1"/>
        <v>1</v>
      </c>
      <c r="G104" s="103">
        <f t="shared" si="2"/>
        <v>6</v>
      </c>
      <c r="H104" s="103">
        <f t="shared" si="3"/>
        <v>0</v>
      </c>
      <c r="I104" s="143"/>
      <c r="J104" s="104">
        <v>1.0</v>
      </c>
      <c r="K104" s="111"/>
      <c r="L104" s="106">
        <v>0.21</v>
      </c>
      <c r="M104" s="107">
        <v>0.052</v>
      </c>
      <c r="N104" s="108"/>
      <c r="O104" s="109"/>
      <c r="P104" s="110"/>
    </row>
    <row r="105">
      <c r="A105" s="112"/>
      <c r="B105" s="113"/>
      <c r="C105" s="145" t="s">
        <v>120</v>
      </c>
      <c r="D105" s="115">
        <v>20.0</v>
      </c>
      <c r="E105" s="116">
        <v>1.5</v>
      </c>
      <c r="F105" s="117">
        <f t="shared" si="1"/>
        <v>1</v>
      </c>
      <c r="G105" s="118">
        <f t="shared" si="2"/>
        <v>1.5</v>
      </c>
      <c r="H105" s="118">
        <f t="shared" si="3"/>
        <v>0</v>
      </c>
      <c r="I105" s="146"/>
      <c r="J105" s="120">
        <v>1.0</v>
      </c>
      <c r="K105" s="121"/>
      <c r="L105" s="122">
        <v>0.21</v>
      </c>
      <c r="M105" s="123">
        <v>0.052</v>
      </c>
      <c r="N105" s="124"/>
      <c r="O105" s="125"/>
      <c r="P105" s="126"/>
    </row>
    <row r="106">
      <c r="A106" s="127" t="s">
        <v>136</v>
      </c>
      <c r="B106" s="128" t="s">
        <v>137</v>
      </c>
      <c r="C106" s="129" t="s">
        <v>138</v>
      </c>
      <c r="D106" s="147">
        <v>100.0</v>
      </c>
      <c r="E106" s="131">
        <v>8.0</v>
      </c>
      <c r="F106" s="132">
        <f t="shared" ref="F106:F320" si="8">G106/H106</f>
        <v>0.3223140496</v>
      </c>
      <c r="G106" s="133">
        <f t="shared" si="2"/>
        <v>1.95</v>
      </c>
      <c r="H106" s="133">
        <f t="shared" si="3"/>
        <v>6.05</v>
      </c>
      <c r="I106" s="134">
        <v>5.0</v>
      </c>
      <c r="J106" s="135"/>
      <c r="K106" s="136"/>
      <c r="L106" s="137">
        <v>0.21</v>
      </c>
      <c r="M106" s="148">
        <v>0.0</v>
      </c>
      <c r="N106" s="139" t="s">
        <v>139</v>
      </c>
      <c r="O106" s="140"/>
      <c r="P106" s="141"/>
    </row>
    <row r="107">
      <c r="A107" s="97"/>
      <c r="B107" s="98"/>
      <c r="C107" s="142" t="s">
        <v>140</v>
      </c>
      <c r="D107" s="100">
        <v>4.0</v>
      </c>
      <c r="E107" s="101">
        <v>1.0</v>
      </c>
      <c r="F107" s="102">
        <f t="shared" si="8"/>
        <v>3.132231405</v>
      </c>
      <c r="G107" s="103">
        <f t="shared" si="2"/>
        <v>0.758</v>
      </c>
      <c r="H107" s="103">
        <f t="shared" si="3"/>
        <v>0.242</v>
      </c>
      <c r="I107" s="89">
        <f t="shared" ref="I107:I109" si="9">($I$106*D107)/$D$106</f>
        <v>0.2</v>
      </c>
      <c r="J107" s="104"/>
      <c r="K107" s="111"/>
      <c r="L107" s="106">
        <v>0.21</v>
      </c>
      <c r="M107" s="149">
        <v>0.0</v>
      </c>
      <c r="N107" s="108" t="s">
        <v>139</v>
      </c>
      <c r="O107" s="109"/>
      <c r="P107" s="110"/>
    </row>
    <row r="108">
      <c r="A108" s="97"/>
      <c r="B108" s="98"/>
      <c r="C108" s="142" t="s">
        <v>120</v>
      </c>
      <c r="D108" s="100">
        <v>8.0</v>
      </c>
      <c r="E108" s="101">
        <v>1.3</v>
      </c>
      <c r="F108" s="102">
        <f t="shared" si="8"/>
        <v>1.685950413</v>
      </c>
      <c r="G108" s="103">
        <f t="shared" si="2"/>
        <v>0.816</v>
      </c>
      <c r="H108" s="103">
        <f t="shared" si="3"/>
        <v>0.484</v>
      </c>
      <c r="I108" s="89">
        <f t="shared" si="9"/>
        <v>0.4</v>
      </c>
      <c r="J108" s="104"/>
      <c r="K108" s="111"/>
      <c r="L108" s="106">
        <v>0.21</v>
      </c>
      <c r="M108" s="149">
        <v>0.0</v>
      </c>
      <c r="N108" s="108" t="s">
        <v>139</v>
      </c>
      <c r="O108" s="109"/>
      <c r="P108" s="110"/>
    </row>
    <row r="109">
      <c r="A109" s="97"/>
      <c r="B109" s="98"/>
      <c r="C109" s="142" t="s">
        <v>141</v>
      </c>
      <c r="D109" s="100">
        <v>8.0</v>
      </c>
      <c r="E109" s="101">
        <v>1.5</v>
      </c>
      <c r="F109" s="102">
        <f t="shared" si="8"/>
        <v>2.099173554</v>
      </c>
      <c r="G109" s="103">
        <f t="shared" si="2"/>
        <v>1.016</v>
      </c>
      <c r="H109" s="103">
        <f t="shared" si="3"/>
        <v>0.484</v>
      </c>
      <c r="I109" s="89">
        <f t="shared" si="9"/>
        <v>0.4</v>
      </c>
      <c r="J109" s="104"/>
      <c r="K109" s="111"/>
      <c r="L109" s="106">
        <v>0.21</v>
      </c>
      <c r="M109" s="149">
        <v>0.0</v>
      </c>
      <c r="N109" s="108" t="s">
        <v>139</v>
      </c>
      <c r="O109" s="109"/>
      <c r="P109" s="110"/>
    </row>
    <row r="110">
      <c r="A110" s="97" t="s">
        <v>136</v>
      </c>
      <c r="B110" s="98" t="s">
        <v>137</v>
      </c>
      <c r="C110" s="99" t="s">
        <v>142</v>
      </c>
      <c r="D110" s="150">
        <v>100.0</v>
      </c>
      <c r="E110" s="101">
        <v>8.0</v>
      </c>
      <c r="F110" s="102">
        <f t="shared" si="8"/>
        <v>0.3223140496</v>
      </c>
      <c r="G110" s="103">
        <f t="shared" si="2"/>
        <v>1.95</v>
      </c>
      <c r="H110" s="103">
        <f t="shared" si="3"/>
        <v>6.05</v>
      </c>
      <c r="I110" s="143">
        <v>5.0</v>
      </c>
      <c r="J110" s="104"/>
      <c r="K110" s="111"/>
      <c r="L110" s="106">
        <v>0.21</v>
      </c>
      <c r="M110" s="149">
        <v>0.0</v>
      </c>
      <c r="N110" s="151" t="s">
        <v>143</v>
      </c>
      <c r="O110" s="109"/>
      <c r="P110" s="110"/>
    </row>
    <row r="111">
      <c r="A111" s="97"/>
      <c r="B111" s="98"/>
      <c r="C111" s="142" t="s">
        <v>140</v>
      </c>
      <c r="D111" s="100">
        <v>4.0</v>
      </c>
      <c r="E111" s="101">
        <v>1.0</v>
      </c>
      <c r="F111" s="102">
        <f t="shared" si="8"/>
        <v>3.132231405</v>
      </c>
      <c r="G111" s="103">
        <f t="shared" si="2"/>
        <v>0.758</v>
      </c>
      <c r="H111" s="103">
        <f t="shared" si="3"/>
        <v>0.242</v>
      </c>
      <c r="I111" s="89">
        <f t="shared" ref="I111:I113" si="10">($I$110*D111)/$D$110</f>
        <v>0.2</v>
      </c>
      <c r="J111" s="104"/>
      <c r="K111" s="111"/>
      <c r="L111" s="106">
        <v>0.21</v>
      </c>
      <c r="M111" s="149">
        <v>0.0</v>
      </c>
      <c r="N111" s="108"/>
      <c r="O111" s="109"/>
      <c r="P111" s="110"/>
    </row>
    <row r="112">
      <c r="A112" s="97"/>
      <c r="B112" s="98"/>
      <c r="C112" s="142" t="s">
        <v>120</v>
      </c>
      <c r="D112" s="100">
        <v>8.0</v>
      </c>
      <c r="E112" s="101">
        <v>1.3</v>
      </c>
      <c r="F112" s="102">
        <f t="shared" si="8"/>
        <v>1.685950413</v>
      </c>
      <c r="G112" s="103">
        <f t="shared" si="2"/>
        <v>0.816</v>
      </c>
      <c r="H112" s="103">
        <f t="shared" si="3"/>
        <v>0.484</v>
      </c>
      <c r="I112" s="89">
        <f t="shared" si="10"/>
        <v>0.4</v>
      </c>
      <c r="J112" s="104"/>
      <c r="K112" s="111"/>
      <c r="L112" s="106">
        <v>0.21</v>
      </c>
      <c r="M112" s="149">
        <v>0.0</v>
      </c>
      <c r="N112" s="108"/>
      <c r="O112" s="109"/>
      <c r="P112" s="110"/>
    </row>
    <row r="113">
      <c r="A113" s="97"/>
      <c r="B113" s="98"/>
      <c r="C113" s="142" t="s">
        <v>141</v>
      </c>
      <c r="D113" s="100">
        <v>8.0</v>
      </c>
      <c r="E113" s="101">
        <v>1.5</v>
      </c>
      <c r="F113" s="102">
        <f t="shared" si="8"/>
        <v>2.099173554</v>
      </c>
      <c r="G113" s="103">
        <f t="shared" si="2"/>
        <v>1.016</v>
      </c>
      <c r="H113" s="103">
        <f t="shared" si="3"/>
        <v>0.484</v>
      </c>
      <c r="I113" s="89">
        <f t="shared" si="10"/>
        <v>0.4</v>
      </c>
      <c r="J113" s="104"/>
      <c r="K113" s="111"/>
      <c r="L113" s="106">
        <v>0.21</v>
      </c>
      <c r="M113" s="149">
        <v>0.0</v>
      </c>
      <c r="N113" s="108"/>
      <c r="O113" s="109"/>
      <c r="P113" s="110"/>
    </row>
    <row r="114">
      <c r="A114" s="97" t="s">
        <v>136</v>
      </c>
      <c r="B114" s="98" t="s">
        <v>144</v>
      </c>
      <c r="C114" s="99" t="s">
        <v>145</v>
      </c>
      <c r="D114" s="150">
        <v>70.0</v>
      </c>
      <c r="E114" s="101">
        <v>8.0</v>
      </c>
      <c r="F114" s="102">
        <f t="shared" si="8"/>
        <v>0.3223140496</v>
      </c>
      <c r="G114" s="103">
        <f t="shared" si="2"/>
        <v>1.95</v>
      </c>
      <c r="H114" s="103">
        <f t="shared" si="3"/>
        <v>6.05</v>
      </c>
      <c r="I114" s="143">
        <v>5.0</v>
      </c>
      <c r="J114" s="104"/>
      <c r="K114" s="111"/>
      <c r="L114" s="106">
        <v>0.21</v>
      </c>
      <c r="M114" s="149">
        <v>0.0</v>
      </c>
      <c r="N114" s="108" t="s">
        <v>146</v>
      </c>
      <c r="O114" s="109"/>
      <c r="P114" s="110"/>
    </row>
    <row r="115">
      <c r="A115" s="97"/>
      <c r="B115" s="98"/>
      <c r="C115" s="142" t="s">
        <v>140</v>
      </c>
      <c r="D115" s="100">
        <v>4.0</v>
      </c>
      <c r="E115" s="101">
        <v>1.0</v>
      </c>
      <c r="F115" s="102">
        <f t="shared" si="8"/>
        <v>1.892561983</v>
      </c>
      <c r="G115" s="103">
        <f t="shared" si="2"/>
        <v>0.6542857143</v>
      </c>
      <c r="H115" s="103">
        <f t="shared" si="3"/>
        <v>0.3457142857</v>
      </c>
      <c r="I115" s="89">
        <f t="shared" ref="I115:I117" si="11">($I$114*D115)/$D$114</f>
        <v>0.2857142857</v>
      </c>
      <c r="J115" s="104"/>
      <c r="K115" s="111"/>
      <c r="L115" s="106">
        <v>0.21</v>
      </c>
      <c r="M115" s="149">
        <v>0.0</v>
      </c>
      <c r="N115" s="108" t="s">
        <v>146</v>
      </c>
      <c r="O115" s="109"/>
      <c r="P115" s="110"/>
    </row>
    <row r="116">
      <c r="A116" s="97"/>
      <c r="B116" s="98"/>
      <c r="C116" s="142" t="s">
        <v>120</v>
      </c>
      <c r="D116" s="100">
        <v>8.0</v>
      </c>
      <c r="E116" s="101">
        <v>1.3</v>
      </c>
      <c r="F116" s="102">
        <f t="shared" si="8"/>
        <v>0.8801652893</v>
      </c>
      <c r="G116" s="103">
        <f t="shared" si="2"/>
        <v>0.6085714286</v>
      </c>
      <c r="H116" s="103">
        <f t="shared" si="3"/>
        <v>0.6914285714</v>
      </c>
      <c r="I116" s="89">
        <f t="shared" si="11"/>
        <v>0.5714285714</v>
      </c>
      <c r="J116" s="104"/>
      <c r="K116" s="111"/>
      <c r="L116" s="106">
        <v>0.21</v>
      </c>
      <c r="M116" s="149">
        <v>0.0</v>
      </c>
      <c r="N116" s="108" t="s">
        <v>146</v>
      </c>
      <c r="O116" s="109"/>
      <c r="P116" s="110"/>
    </row>
    <row r="117">
      <c r="A117" s="97"/>
      <c r="B117" s="98"/>
      <c r="C117" s="142" t="s">
        <v>141</v>
      </c>
      <c r="D117" s="100">
        <v>8.0</v>
      </c>
      <c r="E117" s="101">
        <v>1.5</v>
      </c>
      <c r="F117" s="102">
        <f t="shared" si="8"/>
        <v>1.169421488</v>
      </c>
      <c r="G117" s="103">
        <f t="shared" si="2"/>
        <v>0.8085714286</v>
      </c>
      <c r="H117" s="103">
        <f t="shared" si="3"/>
        <v>0.6914285714</v>
      </c>
      <c r="I117" s="89">
        <f t="shared" si="11"/>
        <v>0.5714285714</v>
      </c>
      <c r="J117" s="104"/>
      <c r="K117" s="111"/>
      <c r="L117" s="106">
        <v>0.21</v>
      </c>
      <c r="M117" s="149">
        <v>0.0</v>
      </c>
      <c r="N117" s="108" t="s">
        <v>146</v>
      </c>
      <c r="O117" s="109"/>
      <c r="P117" s="110"/>
    </row>
    <row r="118">
      <c r="A118" s="97" t="s">
        <v>136</v>
      </c>
      <c r="B118" s="98" t="s">
        <v>137</v>
      </c>
      <c r="C118" s="99" t="s">
        <v>147</v>
      </c>
      <c r="D118" s="150">
        <v>100.0</v>
      </c>
      <c r="E118" s="101">
        <v>8.0</v>
      </c>
      <c r="F118" s="102">
        <f t="shared" si="8"/>
        <v>0.1019283747</v>
      </c>
      <c r="G118" s="103">
        <f t="shared" si="2"/>
        <v>0.74</v>
      </c>
      <c r="H118" s="103">
        <f t="shared" si="3"/>
        <v>7.26</v>
      </c>
      <c r="I118" s="143">
        <v>6.0</v>
      </c>
      <c r="J118" s="104"/>
      <c r="K118" s="111"/>
      <c r="L118" s="106">
        <v>0.21</v>
      </c>
      <c r="M118" s="149">
        <v>0.0</v>
      </c>
      <c r="N118" s="151" t="s">
        <v>148</v>
      </c>
      <c r="O118" s="109"/>
      <c r="P118" s="110"/>
    </row>
    <row r="119">
      <c r="A119" s="97"/>
      <c r="B119" s="98"/>
      <c r="C119" s="142" t="s">
        <v>140</v>
      </c>
      <c r="D119" s="100">
        <v>4.0</v>
      </c>
      <c r="E119" s="101">
        <v>1.0</v>
      </c>
      <c r="F119" s="102">
        <f t="shared" si="8"/>
        <v>2.443526171</v>
      </c>
      <c r="G119" s="103">
        <f t="shared" si="2"/>
        <v>0.7096</v>
      </c>
      <c r="H119" s="103">
        <f t="shared" si="3"/>
        <v>0.2904</v>
      </c>
      <c r="I119" s="89">
        <f t="shared" ref="I119:I121" si="12">($I$118*D119)/$D$118</f>
        <v>0.24</v>
      </c>
      <c r="J119" s="104"/>
      <c r="K119" s="111"/>
      <c r="L119" s="106">
        <v>0.21</v>
      </c>
      <c r="M119" s="149">
        <v>0.0</v>
      </c>
      <c r="N119" s="108"/>
      <c r="O119" s="109"/>
      <c r="P119" s="110"/>
    </row>
    <row r="120">
      <c r="A120" s="97"/>
      <c r="B120" s="98"/>
      <c r="C120" s="142" t="s">
        <v>120</v>
      </c>
      <c r="D120" s="100">
        <v>8.0</v>
      </c>
      <c r="E120" s="101">
        <v>1.3</v>
      </c>
      <c r="F120" s="102">
        <f t="shared" si="8"/>
        <v>1.238292011</v>
      </c>
      <c r="G120" s="103">
        <f t="shared" si="2"/>
        <v>0.7192</v>
      </c>
      <c r="H120" s="103">
        <f t="shared" si="3"/>
        <v>0.5808</v>
      </c>
      <c r="I120" s="89">
        <f t="shared" si="12"/>
        <v>0.48</v>
      </c>
      <c r="J120" s="104"/>
      <c r="K120" s="111"/>
      <c r="L120" s="106">
        <v>0.21</v>
      </c>
      <c r="M120" s="149">
        <v>0.0</v>
      </c>
      <c r="N120" s="108"/>
      <c r="O120" s="109"/>
      <c r="P120" s="110"/>
    </row>
    <row r="121">
      <c r="A121" s="97"/>
      <c r="B121" s="98"/>
      <c r="C121" s="142" t="s">
        <v>141</v>
      </c>
      <c r="D121" s="100">
        <v>8.0</v>
      </c>
      <c r="E121" s="101">
        <v>1.5</v>
      </c>
      <c r="F121" s="102">
        <f t="shared" si="8"/>
        <v>1.582644628</v>
      </c>
      <c r="G121" s="103">
        <f t="shared" si="2"/>
        <v>0.9192</v>
      </c>
      <c r="H121" s="103">
        <f t="shared" si="3"/>
        <v>0.5808</v>
      </c>
      <c r="I121" s="89">
        <f t="shared" si="12"/>
        <v>0.48</v>
      </c>
      <c r="J121" s="104"/>
      <c r="K121" s="111"/>
      <c r="L121" s="106">
        <v>0.21</v>
      </c>
      <c r="M121" s="149">
        <v>0.0</v>
      </c>
      <c r="N121" s="108"/>
      <c r="O121" s="109"/>
      <c r="P121" s="110"/>
    </row>
    <row r="122">
      <c r="A122" s="97" t="s">
        <v>136</v>
      </c>
      <c r="B122" s="98" t="s">
        <v>149</v>
      </c>
      <c r="C122" s="99" t="s">
        <v>150</v>
      </c>
      <c r="D122" s="150">
        <v>100.0</v>
      </c>
      <c r="E122" s="101">
        <v>12.0</v>
      </c>
      <c r="F122" s="102">
        <f t="shared" si="8"/>
        <v>0.04393214441</v>
      </c>
      <c r="G122" s="103">
        <f t="shared" si="2"/>
        <v>0.505</v>
      </c>
      <c r="H122" s="103">
        <f t="shared" si="3"/>
        <v>11.495</v>
      </c>
      <c r="I122" s="143">
        <v>9.5</v>
      </c>
      <c r="J122" s="104"/>
      <c r="K122" s="111"/>
      <c r="L122" s="106">
        <v>0.21</v>
      </c>
      <c r="M122" s="149">
        <v>0.0</v>
      </c>
      <c r="N122" s="108" t="s">
        <v>146</v>
      </c>
      <c r="O122" s="109"/>
      <c r="P122" s="110"/>
    </row>
    <row r="123">
      <c r="A123" s="97"/>
      <c r="B123" s="98"/>
      <c r="C123" s="142" t="s">
        <v>140</v>
      </c>
      <c r="D123" s="100">
        <v>4.0</v>
      </c>
      <c r="E123" s="101">
        <v>1.0</v>
      </c>
      <c r="F123" s="102">
        <f t="shared" si="8"/>
        <v>1.174858634</v>
      </c>
      <c r="G123" s="103">
        <f t="shared" si="2"/>
        <v>0.5402</v>
      </c>
      <c r="H123" s="103">
        <f t="shared" si="3"/>
        <v>0.4598</v>
      </c>
      <c r="I123" s="89">
        <f t="shared" ref="I123:I125" si="13">($I$122*D123)/$D$122</f>
        <v>0.38</v>
      </c>
      <c r="J123" s="104"/>
      <c r="K123" s="111"/>
      <c r="L123" s="106">
        <v>0.21</v>
      </c>
      <c r="M123" s="149">
        <v>0.0</v>
      </c>
      <c r="N123" s="108" t="s">
        <v>146</v>
      </c>
      <c r="O123" s="109"/>
      <c r="P123" s="110"/>
    </row>
    <row r="124">
      <c r="A124" s="97"/>
      <c r="B124" s="98"/>
      <c r="C124" s="142" t="s">
        <v>120</v>
      </c>
      <c r="D124" s="100">
        <v>8.0</v>
      </c>
      <c r="E124" s="101">
        <v>1.5</v>
      </c>
      <c r="F124" s="102">
        <f t="shared" si="8"/>
        <v>0.6311439756</v>
      </c>
      <c r="G124" s="103">
        <f t="shared" si="2"/>
        <v>0.5804</v>
      </c>
      <c r="H124" s="103">
        <f t="shared" si="3"/>
        <v>0.9196</v>
      </c>
      <c r="I124" s="89">
        <f t="shared" si="13"/>
        <v>0.76</v>
      </c>
      <c r="J124" s="104"/>
      <c r="K124" s="111"/>
      <c r="L124" s="106">
        <v>0.21</v>
      </c>
      <c r="M124" s="149">
        <v>0.0</v>
      </c>
      <c r="N124" s="108" t="s">
        <v>146</v>
      </c>
      <c r="O124" s="109"/>
      <c r="P124" s="110"/>
    </row>
    <row r="125">
      <c r="A125" s="97"/>
      <c r="B125" s="98"/>
      <c r="C125" s="142" t="s">
        <v>141</v>
      </c>
      <c r="D125" s="100">
        <v>8.0</v>
      </c>
      <c r="E125" s="101">
        <v>2.5</v>
      </c>
      <c r="F125" s="102">
        <f t="shared" si="8"/>
        <v>1.718573293</v>
      </c>
      <c r="G125" s="103">
        <f t="shared" si="2"/>
        <v>1.5804</v>
      </c>
      <c r="H125" s="103">
        <f t="shared" si="3"/>
        <v>0.9196</v>
      </c>
      <c r="I125" s="89">
        <f t="shared" si="13"/>
        <v>0.76</v>
      </c>
      <c r="J125" s="104"/>
      <c r="K125" s="111"/>
      <c r="L125" s="106">
        <v>0.21</v>
      </c>
      <c r="M125" s="149">
        <v>0.0</v>
      </c>
      <c r="N125" s="108" t="s">
        <v>146</v>
      </c>
      <c r="O125" s="109"/>
      <c r="P125" s="110"/>
    </row>
    <row r="126" outlineLevel="1">
      <c r="A126" s="97" t="s">
        <v>136</v>
      </c>
      <c r="B126" s="98"/>
      <c r="C126" s="99" t="s">
        <v>150</v>
      </c>
      <c r="D126" s="150">
        <v>70.0</v>
      </c>
      <c r="E126" s="101">
        <v>10.0</v>
      </c>
      <c r="F126" s="102">
        <f t="shared" si="8"/>
        <v>0.03305785124</v>
      </c>
      <c r="G126" s="103">
        <f t="shared" si="2"/>
        <v>0.32</v>
      </c>
      <c r="H126" s="103">
        <f t="shared" si="3"/>
        <v>9.68</v>
      </c>
      <c r="I126" s="143">
        <v>8.0</v>
      </c>
      <c r="J126" s="104"/>
      <c r="K126" s="111"/>
      <c r="L126" s="106">
        <v>0.21</v>
      </c>
      <c r="M126" s="149">
        <v>0.0</v>
      </c>
      <c r="N126" s="108" t="s">
        <v>146</v>
      </c>
      <c r="O126" s="109"/>
      <c r="P126" s="110"/>
    </row>
    <row r="127" outlineLevel="1">
      <c r="A127" s="97"/>
      <c r="B127" s="98"/>
      <c r="C127" s="142" t="s">
        <v>140</v>
      </c>
      <c r="D127" s="100">
        <v>4.0</v>
      </c>
      <c r="E127" s="152">
        <f t="shared" ref="E127:E129" si="14">E123</f>
        <v>1</v>
      </c>
      <c r="F127" s="102">
        <f t="shared" si="8"/>
        <v>0.8078512397</v>
      </c>
      <c r="G127" s="103">
        <f t="shared" si="2"/>
        <v>0.4468571429</v>
      </c>
      <c r="H127" s="103">
        <f t="shared" si="3"/>
        <v>0.5531428571</v>
      </c>
      <c r="I127" s="89">
        <f t="shared" ref="I127:I128" si="15">($I$126*D127)/$D$126</f>
        <v>0.4571428571</v>
      </c>
      <c r="J127" s="104"/>
      <c r="K127" s="111"/>
      <c r="L127" s="106">
        <v>0.21</v>
      </c>
      <c r="M127" s="149">
        <v>0.0</v>
      </c>
      <c r="N127" s="108" t="s">
        <v>146</v>
      </c>
      <c r="O127" s="109"/>
      <c r="P127" s="110"/>
    </row>
    <row r="128" outlineLevel="1">
      <c r="A128" s="97"/>
      <c r="B128" s="98"/>
      <c r="C128" s="142" t="s">
        <v>120</v>
      </c>
      <c r="D128" s="100">
        <v>8.0</v>
      </c>
      <c r="E128" s="152">
        <f t="shared" si="14"/>
        <v>1.5</v>
      </c>
      <c r="F128" s="102">
        <f t="shared" si="8"/>
        <v>0.3558884298</v>
      </c>
      <c r="G128" s="103">
        <f t="shared" si="2"/>
        <v>0.3937142857</v>
      </c>
      <c r="H128" s="103">
        <f t="shared" si="3"/>
        <v>1.106285714</v>
      </c>
      <c r="I128" s="89">
        <f t="shared" si="15"/>
        <v>0.9142857143</v>
      </c>
      <c r="J128" s="104"/>
      <c r="K128" s="111"/>
      <c r="L128" s="106">
        <v>0.21</v>
      </c>
      <c r="M128" s="149">
        <v>0.0</v>
      </c>
      <c r="N128" s="108" t="s">
        <v>146</v>
      </c>
      <c r="O128" s="109"/>
      <c r="P128" s="110"/>
    </row>
    <row r="129" outlineLevel="1">
      <c r="A129" s="97"/>
      <c r="B129" s="98"/>
      <c r="C129" s="142" t="s">
        <v>141</v>
      </c>
      <c r="D129" s="100">
        <v>8.0</v>
      </c>
      <c r="E129" s="152">
        <f t="shared" si="14"/>
        <v>2.5</v>
      </c>
      <c r="F129" s="102">
        <f t="shared" si="8"/>
        <v>2.228305785</v>
      </c>
      <c r="G129" s="103">
        <f t="shared" si="2"/>
        <v>1.7256</v>
      </c>
      <c r="H129" s="103">
        <f t="shared" si="3"/>
        <v>0.7744</v>
      </c>
      <c r="I129" s="89">
        <f>($I$126*D129)/$D$122</f>
        <v>0.64</v>
      </c>
      <c r="J129" s="104"/>
      <c r="K129" s="111"/>
      <c r="L129" s="106">
        <v>0.21</v>
      </c>
      <c r="M129" s="149">
        <v>0.0</v>
      </c>
      <c r="N129" s="108" t="s">
        <v>146</v>
      </c>
      <c r="O129" s="109"/>
      <c r="P129" s="110"/>
    </row>
    <row r="130">
      <c r="A130" s="97" t="s">
        <v>136</v>
      </c>
      <c r="B130" s="98" t="s">
        <v>151</v>
      </c>
      <c r="C130" s="99" t="s">
        <v>152</v>
      </c>
      <c r="D130" s="150">
        <v>70.0</v>
      </c>
      <c r="E130" s="101">
        <v>35.0</v>
      </c>
      <c r="F130" s="102">
        <f t="shared" si="8"/>
        <v>0.7015070491</v>
      </c>
      <c r="G130" s="103">
        <f t="shared" si="2"/>
        <v>14.43</v>
      </c>
      <c r="H130" s="103">
        <f t="shared" si="3"/>
        <v>20.57</v>
      </c>
      <c r="I130" s="143">
        <v>17.0</v>
      </c>
      <c r="J130" s="104"/>
      <c r="K130" s="111"/>
      <c r="L130" s="106">
        <v>0.21</v>
      </c>
      <c r="M130" s="149">
        <v>0.0</v>
      </c>
      <c r="N130" s="108" t="s">
        <v>146</v>
      </c>
      <c r="O130" s="109"/>
      <c r="P130" s="110"/>
    </row>
    <row r="131">
      <c r="A131" s="97"/>
      <c r="B131" s="98"/>
      <c r="C131" s="142" t="s">
        <v>120</v>
      </c>
      <c r="D131" s="100">
        <v>8.0</v>
      </c>
      <c r="E131" s="101">
        <v>6.0</v>
      </c>
      <c r="F131" s="102">
        <f t="shared" si="8"/>
        <v>1.552260574</v>
      </c>
      <c r="G131" s="103">
        <f t="shared" si="2"/>
        <v>3.649142857</v>
      </c>
      <c r="H131" s="103">
        <f t="shared" si="3"/>
        <v>2.350857143</v>
      </c>
      <c r="I131" s="89">
        <f>($I$130*D131)/$D$130</f>
        <v>1.942857143</v>
      </c>
      <c r="J131" s="104"/>
      <c r="K131" s="111"/>
      <c r="L131" s="106">
        <v>0.21</v>
      </c>
      <c r="M131" s="149">
        <v>0.0</v>
      </c>
      <c r="N131" s="108" t="s">
        <v>146</v>
      </c>
      <c r="O131" s="109"/>
      <c r="P131" s="110"/>
    </row>
    <row r="132">
      <c r="A132" s="97" t="s">
        <v>136</v>
      </c>
      <c r="B132" s="98" t="s">
        <v>151</v>
      </c>
      <c r="C132" s="99" t="s">
        <v>153</v>
      </c>
      <c r="D132" s="150">
        <v>70.0</v>
      </c>
      <c r="E132" s="101">
        <v>10.0</v>
      </c>
      <c r="F132" s="102">
        <f t="shared" si="8"/>
        <v>0.03305785124</v>
      </c>
      <c r="G132" s="103">
        <f t="shared" si="2"/>
        <v>0.32</v>
      </c>
      <c r="H132" s="103">
        <f t="shared" si="3"/>
        <v>9.68</v>
      </c>
      <c r="I132" s="143">
        <v>8.0</v>
      </c>
      <c r="J132" s="104"/>
      <c r="K132" s="111"/>
      <c r="L132" s="106">
        <v>0.21</v>
      </c>
      <c r="M132" s="149">
        <v>0.0</v>
      </c>
      <c r="N132" s="108" t="s">
        <v>146</v>
      </c>
      <c r="O132" s="109"/>
      <c r="P132" s="110"/>
    </row>
    <row r="133">
      <c r="A133" s="97"/>
      <c r="B133" s="98"/>
      <c r="C133" s="142" t="s">
        <v>140</v>
      </c>
      <c r="D133" s="100">
        <v>4.0</v>
      </c>
      <c r="E133" s="101">
        <v>1.0</v>
      </c>
      <c r="F133" s="102">
        <f t="shared" si="8"/>
        <v>0.8078512397</v>
      </c>
      <c r="G133" s="103">
        <f t="shared" si="2"/>
        <v>0.4468571429</v>
      </c>
      <c r="H133" s="103">
        <f t="shared" si="3"/>
        <v>0.5531428571</v>
      </c>
      <c r="I133" s="89">
        <f t="shared" ref="I133:I135" si="16">($I$132*D133)/$D$132</f>
        <v>0.4571428571</v>
      </c>
      <c r="J133" s="104"/>
      <c r="K133" s="111"/>
      <c r="L133" s="106">
        <v>0.21</v>
      </c>
      <c r="M133" s="149">
        <v>0.0</v>
      </c>
      <c r="N133" s="108" t="s">
        <v>146</v>
      </c>
      <c r="O133" s="109"/>
      <c r="P133" s="110"/>
    </row>
    <row r="134">
      <c r="A134" s="97"/>
      <c r="B134" s="98"/>
      <c r="C134" s="142" t="s">
        <v>120</v>
      </c>
      <c r="D134" s="100">
        <v>8.0</v>
      </c>
      <c r="E134" s="101">
        <v>1.5</v>
      </c>
      <c r="F134" s="102">
        <f t="shared" si="8"/>
        <v>0.3558884298</v>
      </c>
      <c r="G134" s="103">
        <f t="shared" si="2"/>
        <v>0.3937142857</v>
      </c>
      <c r="H134" s="103">
        <f t="shared" si="3"/>
        <v>1.106285714</v>
      </c>
      <c r="I134" s="89">
        <f t="shared" si="16"/>
        <v>0.9142857143</v>
      </c>
      <c r="J134" s="104"/>
      <c r="K134" s="111"/>
      <c r="L134" s="106">
        <v>0.21</v>
      </c>
      <c r="M134" s="149">
        <v>0.0</v>
      </c>
      <c r="N134" s="108" t="s">
        <v>146</v>
      </c>
      <c r="O134" s="109"/>
      <c r="P134" s="110"/>
    </row>
    <row r="135">
      <c r="A135" s="97"/>
      <c r="B135" s="98"/>
      <c r="C135" s="142" t="s">
        <v>141</v>
      </c>
      <c r="D135" s="100">
        <v>8.0</v>
      </c>
      <c r="E135" s="101">
        <v>2.5</v>
      </c>
      <c r="F135" s="102">
        <f t="shared" si="8"/>
        <v>1.25981405</v>
      </c>
      <c r="G135" s="103">
        <f t="shared" si="2"/>
        <v>1.393714286</v>
      </c>
      <c r="H135" s="103">
        <f t="shared" si="3"/>
        <v>1.106285714</v>
      </c>
      <c r="I135" s="89">
        <f t="shared" si="16"/>
        <v>0.9142857143</v>
      </c>
      <c r="J135" s="104"/>
      <c r="K135" s="111"/>
      <c r="L135" s="106">
        <v>0.21</v>
      </c>
      <c r="M135" s="149">
        <v>0.0</v>
      </c>
      <c r="N135" s="108" t="s">
        <v>146</v>
      </c>
      <c r="O135" s="109"/>
      <c r="P135" s="110"/>
    </row>
    <row r="136">
      <c r="A136" s="97" t="s">
        <v>136</v>
      </c>
      <c r="B136" s="98" t="s">
        <v>151</v>
      </c>
      <c r="C136" s="99" t="s">
        <v>154</v>
      </c>
      <c r="D136" s="150">
        <v>70.0</v>
      </c>
      <c r="E136" s="101">
        <v>10.0</v>
      </c>
      <c r="F136" s="102">
        <f t="shared" si="8"/>
        <v>0.1319900385</v>
      </c>
      <c r="G136" s="103">
        <f t="shared" si="2"/>
        <v>1.166</v>
      </c>
      <c r="H136" s="103">
        <f t="shared" si="3"/>
        <v>8.834</v>
      </c>
      <c r="I136" s="143">
        <v>7.0</v>
      </c>
      <c r="J136" s="104"/>
      <c r="K136" s="111">
        <v>10.18</v>
      </c>
      <c r="L136" s="106">
        <v>0.21</v>
      </c>
      <c r="M136" s="107">
        <v>0.052</v>
      </c>
      <c r="N136" s="108" t="s">
        <v>146</v>
      </c>
      <c r="O136" s="109"/>
      <c r="P136" s="110"/>
    </row>
    <row r="137">
      <c r="A137" s="97"/>
      <c r="B137" s="98"/>
      <c r="C137" s="142" t="s">
        <v>140</v>
      </c>
      <c r="D137" s="100">
        <v>4.0</v>
      </c>
      <c r="E137" s="101">
        <v>1.0</v>
      </c>
      <c r="F137" s="102">
        <f t="shared" si="8"/>
        <v>0.9809825674</v>
      </c>
      <c r="G137" s="103">
        <f t="shared" si="2"/>
        <v>0.4952</v>
      </c>
      <c r="H137" s="103">
        <f t="shared" si="3"/>
        <v>0.5048</v>
      </c>
      <c r="I137" s="89">
        <f t="shared" ref="I137:I139" si="17">($I$136*D137)/$D$136</f>
        <v>0.4</v>
      </c>
      <c r="J137" s="104"/>
      <c r="K137" s="111"/>
      <c r="L137" s="106">
        <v>0.21</v>
      </c>
      <c r="M137" s="107">
        <v>0.052</v>
      </c>
      <c r="N137" s="108" t="s">
        <v>146</v>
      </c>
      <c r="O137" s="109"/>
      <c r="P137" s="110"/>
    </row>
    <row r="138">
      <c r="A138" s="97"/>
      <c r="B138" s="98"/>
      <c r="C138" s="142" t="s">
        <v>120</v>
      </c>
      <c r="D138" s="100">
        <v>8.0</v>
      </c>
      <c r="E138" s="101">
        <v>1.5</v>
      </c>
      <c r="F138" s="102">
        <f t="shared" si="8"/>
        <v>0.4857369255</v>
      </c>
      <c r="G138" s="103">
        <f t="shared" si="2"/>
        <v>0.4904</v>
      </c>
      <c r="H138" s="103">
        <f t="shared" si="3"/>
        <v>1.0096</v>
      </c>
      <c r="I138" s="89">
        <f t="shared" si="17"/>
        <v>0.8</v>
      </c>
      <c r="J138" s="104"/>
      <c r="K138" s="111"/>
      <c r="L138" s="106">
        <v>0.21</v>
      </c>
      <c r="M138" s="107">
        <v>0.052</v>
      </c>
      <c r="N138" s="108" t="s">
        <v>146</v>
      </c>
      <c r="O138" s="109"/>
      <c r="P138" s="110"/>
    </row>
    <row r="139">
      <c r="A139" s="97"/>
      <c r="B139" s="98"/>
      <c r="C139" s="142" t="s">
        <v>141</v>
      </c>
      <c r="D139" s="100">
        <v>8.0</v>
      </c>
      <c r="E139" s="101">
        <v>2.5</v>
      </c>
      <c r="F139" s="102">
        <f t="shared" si="8"/>
        <v>1.476228209</v>
      </c>
      <c r="G139" s="103">
        <f t="shared" si="2"/>
        <v>1.4904</v>
      </c>
      <c r="H139" s="103">
        <f t="shared" si="3"/>
        <v>1.0096</v>
      </c>
      <c r="I139" s="89">
        <f t="shared" si="17"/>
        <v>0.8</v>
      </c>
      <c r="J139" s="104"/>
      <c r="K139" s="111"/>
      <c r="L139" s="106">
        <v>0.21</v>
      </c>
      <c r="M139" s="107">
        <v>0.052</v>
      </c>
      <c r="N139" s="108" t="s">
        <v>146</v>
      </c>
      <c r="O139" s="109"/>
      <c r="P139" s="110"/>
    </row>
    <row r="140">
      <c r="A140" s="97" t="s">
        <v>136</v>
      </c>
      <c r="B140" s="98" t="s">
        <v>151</v>
      </c>
      <c r="C140" s="99" t="s">
        <v>155</v>
      </c>
      <c r="D140" s="150">
        <v>100.0</v>
      </c>
      <c r="E140" s="101">
        <v>10.0</v>
      </c>
      <c r="F140" s="102">
        <f t="shared" si="8"/>
        <v>0.3774104683</v>
      </c>
      <c r="G140" s="103">
        <f t="shared" si="2"/>
        <v>2.74</v>
      </c>
      <c r="H140" s="103">
        <f t="shared" si="3"/>
        <v>7.26</v>
      </c>
      <c r="I140" s="143">
        <v>6.0</v>
      </c>
      <c r="J140" s="104"/>
      <c r="K140" s="111"/>
      <c r="L140" s="106">
        <v>0.21</v>
      </c>
      <c r="M140" s="149">
        <v>0.0</v>
      </c>
      <c r="N140" s="108" t="s">
        <v>146</v>
      </c>
      <c r="O140" s="109"/>
      <c r="P140" s="110"/>
    </row>
    <row r="141">
      <c r="A141" s="97"/>
      <c r="B141" s="98"/>
      <c r="C141" s="142" t="s">
        <v>140</v>
      </c>
      <c r="D141" s="100">
        <v>4.0</v>
      </c>
      <c r="E141" s="101">
        <v>1.0</v>
      </c>
      <c r="F141" s="102">
        <f t="shared" si="8"/>
        <v>2.443526171</v>
      </c>
      <c r="G141" s="103">
        <f t="shared" si="2"/>
        <v>0.7096</v>
      </c>
      <c r="H141" s="103">
        <f t="shared" si="3"/>
        <v>0.2904</v>
      </c>
      <c r="I141" s="89">
        <f t="shared" ref="I141:I143" si="18">($I$140*D141)/$D$140</f>
        <v>0.24</v>
      </c>
      <c r="J141" s="104"/>
      <c r="K141" s="111"/>
      <c r="L141" s="106">
        <v>0.21</v>
      </c>
      <c r="M141" s="149">
        <v>0.0</v>
      </c>
      <c r="N141" s="108" t="s">
        <v>146</v>
      </c>
      <c r="O141" s="109"/>
      <c r="P141" s="110"/>
    </row>
    <row r="142">
      <c r="A142" s="97"/>
      <c r="B142" s="98"/>
      <c r="C142" s="142" t="s">
        <v>120</v>
      </c>
      <c r="D142" s="100">
        <v>8.0</v>
      </c>
      <c r="E142" s="101">
        <v>1.5</v>
      </c>
      <c r="F142" s="102">
        <f t="shared" si="8"/>
        <v>1.582644628</v>
      </c>
      <c r="G142" s="103">
        <f t="shared" si="2"/>
        <v>0.9192</v>
      </c>
      <c r="H142" s="103">
        <f t="shared" si="3"/>
        <v>0.5808</v>
      </c>
      <c r="I142" s="89">
        <f t="shared" si="18"/>
        <v>0.48</v>
      </c>
      <c r="J142" s="104"/>
      <c r="K142" s="111"/>
      <c r="L142" s="106">
        <v>0.21</v>
      </c>
      <c r="M142" s="149">
        <v>0.0</v>
      </c>
      <c r="N142" s="108" t="s">
        <v>146</v>
      </c>
      <c r="O142" s="109"/>
      <c r="P142" s="110"/>
    </row>
    <row r="143">
      <c r="A143" s="97"/>
      <c r="B143" s="98"/>
      <c r="C143" s="142" t="s">
        <v>141</v>
      </c>
      <c r="D143" s="100">
        <v>8.0</v>
      </c>
      <c r="E143" s="101">
        <v>2.0</v>
      </c>
      <c r="F143" s="102">
        <f t="shared" si="8"/>
        <v>2.443526171</v>
      </c>
      <c r="G143" s="103">
        <f t="shared" si="2"/>
        <v>1.4192</v>
      </c>
      <c r="H143" s="103">
        <f t="shared" si="3"/>
        <v>0.5808</v>
      </c>
      <c r="I143" s="89">
        <f t="shared" si="18"/>
        <v>0.48</v>
      </c>
      <c r="J143" s="104"/>
      <c r="K143" s="111"/>
      <c r="L143" s="106">
        <v>0.21</v>
      </c>
      <c r="M143" s="149">
        <v>0.0</v>
      </c>
      <c r="N143" s="108" t="s">
        <v>146</v>
      </c>
      <c r="O143" s="109"/>
      <c r="P143" s="110"/>
    </row>
    <row r="144">
      <c r="A144" s="97" t="s">
        <v>136</v>
      </c>
      <c r="B144" s="98" t="s">
        <v>151</v>
      </c>
      <c r="C144" s="99" t="s">
        <v>156</v>
      </c>
      <c r="D144" s="150">
        <v>100.0</v>
      </c>
      <c r="E144" s="101">
        <v>10.0</v>
      </c>
      <c r="F144" s="102">
        <f t="shared" si="8"/>
        <v>0.1806375443</v>
      </c>
      <c r="G144" s="103">
        <f t="shared" si="2"/>
        <v>1.53</v>
      </c>
      <c r="H144" s="103">
        <f t="shared" si="3"/>
        <v>8.47</v>
      </c>
      <c r="I144" s="143">
        <v>7.0</v>
      </c>
      <c r="J144" s="104"/>
      <c r="K144" s="111"/>
      <c r="L144" s="106">
        <v>0.21</v>
      </c>
      <c r="M144" s="149">
        <v>0.0</v>
      </c>
      <c r="N144" s="108" t="s">
        <v>146</v>
      </c>
      <c r="O144" s="109"/>
      <c r="P144" s="110"/>
    </row>
    <row r="145">
      <c r="A145" s="97"/>
      <c r="B145" s="98"/>
      <c r="C145" s="142" t="s">
        <v>140</v>
      </c>
      <c r="D145" s="100">
        <v>4.0</v>
      </c>
      <c r="E145" s="101">
        <v>1.0</v>
      </c>
      <c r="F145" s="102">
        <f t="shared" si="8"/>
        <v>1.951593861</v>
      </c>
      <c r="G145" s="103">
        <f t="shared" si="2"/>
        <v>0.6612</v>
      </c>
      <c r="H145" s="103">
        <f t="shared" si="3"/>
        <v>0.3388</v>
      </c>
      <c r="I145" s="89">
        <f t="shared" ref="I145:I147" si="19">($I$144*D145)/$D$144</f>
        <v>0.28</v>
      </c>
      <c r="J145" s="104"/>
      <c r="K145" s="111"/>
      <c r="L145" s="106">
        <v>0.21</v>
      </c>
      <c r="M145" s="149">
        <v>0.0</v>
      </c>
      <c r="N145" s="108" t="s">
        <v>146</v>
      </c>
      <c r="O145" s="109"/>
      <c r="P145" s="110"/>
    </row>
    <row r="146">
      <c r="A146" s="97"/>
      <c r="B146" s="98"/>
      <c r="C146" s="142" t="s">
        <v>120</v>
      </c>
      <c r="D146" s="100">
        <v>8.0</v>
      </c>
      <c r="E146" s="101">
        <v>1.5</v>
      </c>
      <c r="F146" s="102">
        <f t="shared" si="8"/>
        <v>1.213695396</v>
      </c>
      <c r="G146" s="103">
        <f t="shared" si="2"/>
        <v>0.8224</v>
      </c>
      <c r="H146" s="103">
        <f t="shared" si="3"/>
        <v>0.6776</v>
      </c>
      <c r="I146" s="89">
        <f t="shared" si="19"/>
        <v>0.56</v>
      </c>
      <c r="J146" s="104"/>
      <c r="K146" s="111"/>
      <c r="L146" s="106">
        <v>0.21</v>
      </c>
      <c r="M146" s="149">
        <v>0.0</v>
      </c>
      <c r="N146" s="108" t="s">
        <v>146</v>
      </c>
      <c r="O146" s="109"/>
      <c r="P146" s="110"/>
    </row>
    <row r="147">
      <c r="A147" s="97"/>
      <c r="B147" s="98"/>
      <c r="C147" s="142" t="s">
        <v>141</v>
      </c>
      <c r="D147" s="100">
        <v>8.0</v>
      </c>
      <c r="E147" s="101">
        <v>2.0</v>
      </c>
      <c r="F147" s="102">
        <f t="shared" si="8"/>
        <v>1.951593861</v>
      </c>
      <c r="G147" s="103">
        <f t="shared" si="2"/>
        <v>1.3224</v>
      </c>
      <c r="H147" s="103">
        <f t="shared" si="3"/>
        <v>0.6776</v>
      </c>
      <c r="I147" s="89">
        <f t="shared" si="19"/>
        <v>0.56</v>
      </c>
      <c r="J147" s="104"/>
      <c r="K147" s="111"/>
      <c r="L147" s="106">
        <v>0.21</v>
      </c>
      <c r="M147" s="149">
        <v>0.0</v>
      </c>
      <c r="N147" s="108" t="s">
        <v>146</v>
      </c>
      <c r="O147" s="109"/>
      <c r="P147" s="110"/>
    </row>
    <row r="148">
      <c r="A148" s="97" t="s">
        <v>136</v>
      </c>
      <c r="B148" s="98" t="s">
        <v>151</v>
      </c>
      <c r="C148" s="99" t="s">
        <v>157</v>
      </c>
      <c r="D148" s="150">
        <v>70.0</v>
      </c>
      <c r="E148" s="101">
        <v>10.0</v>
      </c>
      <c r="F148" s="102">
        <f t="shared" si="8"/>
        <v>0.03305785124</v>
      </c>
      <c r="G148" s="103">
        <f t="shared" si="2"/>
        <v>0.32</v>
      </c>
      <c r="H148" s="103">
        <f t="shared" si="3"/>
        <v>9.68</v>
      </c>
      <c r="I148" s="143">
        <v>8.0</v>
      </c>
      <c r="J148" s="104"/>
      <c r="K148" s="111"/>
      <c r="L148" s="106">
        <v>0.21</v>
      </c>
      <c r="M148" s="149">
        <v>0.0</v>
      </c>
      <c r="N148" s="108" t="s">
        <v>146</v>
      </c>
      <c r="O148" s="109"/>
      <c r="P148" s="110"/>
    </row>
    <row r="149">
      <c r="A149" s="97"/>
      <c r="B149" s="98"/>
      <c r="C149" s="142" t="s">
        <v>140</v>
      </c>
      <c r="D149" s="100">
        <v>4.0</v>
      </c>
      <c r="E149" s="101">
        <v>1.0</v>
      </c>
      <c r="F149" s="102">
        <f t="shared" si="8"/>
        <v>0.8078512397</v>
      </c>
      <c r="G149" s="103">
        <f t="shared" si="2"/>
        <v>0.4468571429</v>
      </c>
      <c r="H149" s="103">
        <f t="shared" si="3"/>
        <v>0.5531428571</v>
      </c>
      <c r="I149" s="89">
        <f t="shared" ref="I149:I151" si="20">($I$148*D149)/$D$148</f>
        <v>0.4571428571</v>
      </c>
      <c r="J149" s="104"/>
      <c r="K149" s="111"/>
      <c r="L149" s="106">
        <v>0.21</v>
      </c>
      <c r="M149" s="149">
        <v>0.0</v>
      </c>
      <c r="N149" s="108" t="s">
        <v>146</v>
      </c>
      <c r="O149" s="109"/>
      <c r="P149" s="110"/>
    </row>
    <row r="150">
      <c r="A150" s="97"/>
      <c r="B150" s="98"/>
      <c r="C150" s="142" t="s">
        <v>120</v>
      </c>
      <c r="D150" s="100">
        <v>8.0</v>
      </c>
      <c r="E150" s="101">
        <v>1.5</v>
      </c>
      <c r="F150" s="102">
        <f t="shared" si="8"/>
        <v>0.3558884298</v>
      </c>
      <c r="G150" s="103">
        <f t="shared" si="2"/>
        <v>0.3937142857</v>
      </c>
      <c r="H150" s="103">
        <f t="shared" si="3"/>
        <v>1.106285714</v>
      </c>
      <c r="I150" s="89">
        <f t="shared" si="20"/>
        <v>0.9142857143</v>
      </c>
      <c r="J150" s="104"/>
      <c r="K150" s="111"/>
      <c r="L150" s="106">
        <v>0.21</v>
      </c>
      <c r="M150" s="149">
        <v>0.0</v>
      </c>
      <c r="N150" s="108" t="s">
        <v>146</v>
      </c>
      <c r="O150" s="109"/>
      <c r="P150" s="110"/>
    </row>
    <row r="151">
      <c r="A151" s="97"/>
      <c r="B151" s="98"/>
      <c r="C151" s="142" t="s">
        <v>141</v>
      </c>
      <c r="D151" s="100">
        <v>8.0</v>
      </c>
      <c r="E151" s="101">
        <v>3.0</v>
      </c>
      <c r="F151" s="102">
        <f t="shared" si="8"/>
        <v>1.71177686</v>
      </c>
      <c r="G151" s="103">
        <f t="shared" si="2"/>
        <v>1.893714286</v>
      </c>
      <c r="H151" s="103">
        <f t="shared" si="3"/>
        <v>1.106285714</v>
      </c>
      <c r="I151" s="89">
        <f t="shared" si="20"/>
        <v>0.9142857143</v>
      </c>
      <c r="J151" s="104"/>
      <c r="K151" s="111"/>
      <c r="L151" s="106">
        <v>0.21</v>
      </c>
      <c r="M151" s="149">
        <v>0.0</v>
      </c>
      <c r="N151" s="108" t="s">
        <v>146</v>
      </c>
      <c r="O151" s="109"/>
      <c r="P151" s="110"/>
    </row>
    <row r="152">
      <c r="A152" s="97" t="s">
        <v>136</v>
      </c>
      <c r="B152" s="98" t="s">
        <v>158</v>
      </c>
      <c r="C152" s="99" t="s">
        <v>159</v>
      </c>
      <c r="D152" s="150">
        <v>100.0</v>
      </c>
      <c r="E152" s="101">
        <v>8.0</v>
      </c>
      <c r="F152" s="102">
        <f t="shared" si="8"/>
        <v>0.1219724275</v>
      </c>
      <c r="G152" s="103">
        <f t="shared" si="2"/>
        <v>0.8697</v>
      </c>
      <c r="H152" s="103">
        <f t="shared" si="3"/>
        <v>7.1303</v>
      </c>
      <c r="I152" s="143">
        <v>5.65</v>
      </c>
      <c r="J152" s="104"/>
      <c r="K152" s="111">
        <v>5.5</v>
      </c>
      <c r="L152" s="106">
        <v>0.21</v>
      </c>
      <c r="M152" s="107">
        <v>0.052</v>
      </c>
      <c r="N152" s="108" t="s">
        <v>52</v>
      </c>
      <c r="O152" s="109"/>
      <c r="P152" s="110"/>
    </row>
    <row r="153">
      <c r="A153" s="97"/>
      <c r="B153" s="98"/>
      <c r="C153" s="142" t="s">
        <v>140</v>
      </c>
      <c r="D153" s="100">
        <v>4.0</v>
      </c>
      <c r="E153" s="101">
        <v>1.0</v>
      </c>
      <c r="F153" s="102">
        <f t="shared" si="8"/>
        <v>2.506163836</v>
      </c>
      <c r="G153" s="103">
        <f t="shared" si="2"/>
        <v>0.714788</v>
      </c>
      <c r="H153" s="103">
        <f t="shared" si="3"/>
        <v>0.285212</v>
      </c>
      <c r="I153" s="89">
        <f t="shared" ref="I153:I154" si="21">($I$152*D153)/$D$152</f>
        <v>0.226</v>
      </c>
      <c r="J153" s="104"/>
      <c r="K153" s="111">
        <v>5.5</v>
      </c>
      <c r="L153" s="106">
        <v>0.21</v>
      </c>
      <c r="M153" s="107">
        <v>0.052</v>
      </c>
      <c r="N153" s="108" t="s">
        <v>52</v>
      </c>
      <c r="O153" s="109"/>
      <c r="P153" s="110"/>
    </row>
    <row r="154">
      <c r="A154" s="97"/>
      <c r="B154" s="98"/>
      <c r="C154" s="142" t="s">
        <v>141</v>
      </c>
      <c r="D154" s="100">
        <v>20.0</v>
      </c>
      <c r="E154" s="101">
        <v>2.0</v>
      </c>
      <c r="F154" s="102">
        <f t="shared" si="8"/>
        <v>0.4024655344</v>
      </c>
      <c r="G154" s="103">
        <f t="shared" si="2"/>
        <v>0.57394</v>
      </c>
      <c r="H154" s="103">
        <f t="shared" si="3"/>
        <v>1.42606</v>
      </c>
      <c r="I154" s="89">
        <f t="shared" si="21"/>
        <v>1.13</v>
      </c>
      <c r="J154" s="104"/>
      <c r="K154" s="111">
        <v>5.5</v>
      </c>
      <c r="L154" s="106">
        <v>0.21</v>
      </c>
      <c r="M154" s="107">
        <v>0.052</v>
      </c>
      <c r="N154" s="108" t="s">
        <v>52</v>
      </c>
      <c r="O154" s="109"/>
      <c r="P154" s="110"/>
    </row>
    <row r="155">
      <c r="A155" s="97" t="s">
        <v>136</v>
      </c>
      <c r="B155" s="98" t="s">
        <v>158</v>
      </c>
      <c r="C155" s="99" t="s">
        <v>160</v>
      </c>
      <c r="D155" s="150">
        <v>100.0</v>
      </c>
      <c r="E155" s="101">
        <v>8.0</v>
      </c>
      <c r="F155" s="102">
        <f t="shared" si="8"/>
        <v>0.1525716756</v>
      </c>
      <c r="G155" s="103">
        <f t="shared" si="2"/>
        <v>1.059</v>
      </c>
      <c r="H155" s="103">
        <f t="shared" si="3"/>
        <v>6.941</v>
      </c>
      <c r="I155" s="143">
        <v>5.5</v>
      </c>
      <c r="J155" s="104"/>
      <c r="K155" s="111">
        <v>5.5</v>
      </c>
      <c r="L155" s="106">
        <v>0.21</v>
      </c>
      <c r="M155" s="107">
        <v>0.052</v>
      </c>
      <c r="N155" s="153" t="s">
        <v>161</v>
      </c>
      <c r="O155" s="109"/>
      <c r="P155" s="110"/>
    </row>
    <row r="156">
      <c r="A156" s="97"/>
      <c r="B156" s="98"/>
      <c r="C156" s="142" t="s">
        <v>140</v>
      </c>
      <c r="D156" s="100">
        <v>4.0</v>
      </c>
      <c r="E156" s="101">
        <v>1.0</v>
      </c>
      <c r="F156" s="102">
        <f t="shared" si="8"/>
        <v>2.601786486</v>
      </c>
      <c r="G156" s="103">
        <f t="shared" si="2"/>
        <v>0.72236</v>
      </c>
      <c r="H156" s="103">
        <f t="shared" si="3"/>
        <v>0.27764</v>
      </c>
      <c r="I156" s="89">
        <f t="shared" ref="I156:I157" si="22">($I$155*D156)/$D$155</f>
        <v>0.22</v>
      </c>
      <c r="J156" s="104"/>
      <c r="K156" s="111">
        <v>5.5</v>
      </c>
      <c r="L156" s="106">
        <v>0.21</v>
      </c>
      <c r="M156" s="107">
        <v>0.052</v>
      </c>
      <c r="N156" s="108" t="s">
        <v>161</v>
      </c>
      <c r="O156" s="109"/>
      <c r="P156" s="110"/>
    </row>
    <row r="157">
      <c r="A157" s="97"/>
      <c r="B157" s="98"/>
      <c r="C157" s="142" t="s">
        <v>141</v>
      </c>
      <c r="D157" s="100">
        <v>20.0</v>
      </c>
      <c r="E157" s="101">
        <v>2.0</v>
      </c>
      <c r="F157" s="102">
        <f t="shared" si="8"/>
        <v>0.4407145944</v>
      </c>
      <c r="G157" s="103">
        <f t="shared" si="2"/>
        <v>0.6118</v>
      </c>
      <c r="H157" s="103">
        <f t="shared" si="3"/>
        <v>1.3882</v>
      </c>
      <c r="I157" s="89">
        <f t="shared" si="22"/>
        <v>1.1</v>
      </c>
      <c r="J157" s="104"/>
      <c r="K157" s="111">
        <v>5.5</v>
      </c>
      <c r="L157" s="106">
        <v>0.21</v>
      </c>
      <c r="M157" s="107">
        <v>0.052</v>
      </c>
      <c r="N157" s="108" t="s">
        <v>162</v>
      </c>
      <c r="O157" s="109"/>
      <c r="P157" s="110"/>
    </row>
    <row r="158">
      <c r="A158" s="97" t="s">
        <v>136</v>
      </c>
      <c r="B158" s="98" t="s">
        <v>163</v>
      </c>
      <c r="C158" s="99" t="s">
        <v>164</v>
      </c>
      <c r="D158" s="150">
        <v>100.0</v>
      </c>
      <c r="E158" s="101">
        <v>8.0</v>
      </c>
      <c r="F158" s="102">
        <f t="shared" si="8"/>
        <v>0.3223140496</v>
      </c>
      <c r="G158" s="103">
        <f t="shared" si="2"/>
        <v>1.95</v>
      </c>
      <c r="H158" s="103">
        <f t="shared" si="3"/>
        <v>6.05</v>
      </c>
      <c r="I158" s="143">
        <v>5.0</v>
      </c>
      <c r="J158" s="104"/>
      <c r="K158" s="111"/>
      <c r="L158" s="106">
        <v>0.21</v>
      </c>
      <c r="M158" s="149">
        <v>0.0</v>
      </c>
      <c r="N158" s="108" t="s">
        <v>139</v>
      </c>
      <c r="O158" s="109"/>
      <c r="P158" s="110"/>
    </row>
    <row r="159">
      <c r="A159" s="97"/>
      <c r="B159" s="98"/>
      <c r="C159" s="142" t="s">
        <v>140</v>
      </c>
      <c r="D159" s="100">
        <v>4.0</v>
      </c>
      <c r="E159" s="101">
        <v>1.0</v>
      </c>
      <c r="F159" s="102">
        <f t="shared" si="8"/>
        <v>3.132231405</v>
      </c>
      <c r="G159" s="103">
        <f t="shared" si="2"/>
        <v>0.758</v>
      </c>
      <c r="H159" s="103">
        <f t="shared" si="3"/>
        <v>0.242</v>
      </c>
      <c r="I159" s="89">
        <f t="shared" ref="I159:I160" si="23">($I$158*D159)/$D$158</f>
        <v>0.2</v>
      </c>
      <c r="J159" s="104"/>
      <c r="K159" s="111"/>
      <c r="L159" s="106">
        <v>0.21</v>
      </c>
      <c r="M159" s="149">
        <v>0.0</v>
      </c>
      <c r="N159" s="108" t="s">
        <v>139</v>
      </c>
      <c r="O159" s="109"/>
      <c r="P159" s="110"/>
    </row>
    <row r="160">
      <c r="A160" s="97"/>
      <c r="B160" s="98"/>
      <c r="C160" s="142" t="s">
        <v>141</v>
      </c>
      <c r="D160" s="100">
        <v>8.0</v>
      </c>
      <c r="E160" s="101">
        <v>1.5</v>
      </c>
      <c r="F160" s="102">
        <f t="shared" si="8"/>
        <v>2.099173554</v>
      </c>
      <c r="G160" s="103">
        <f t="shared" si="2"/>
        <v>1.016</v>
      </c>
      <c r="H160" s="103">
        <f t="shared" si="3"/>
        <v>0.484</v>
      </c>
      <c r="I160" s="89">
        <f t="shared" si="23"/>
        <v>0.4</v>
      </c>
      <c r="J160" s="104"/>
      <c r="K160" s="111"/>
      <c r="L160" s="106">
        <v>0.21</v>
      </c>
      <c r="M160" s="149">
        <v>0.0</v>
      </c>
      <c r="N160" s="108" t="s">
        <v>139</v>
      </c>
      <c r="O160" s="109"/>
      <c r="P160" s="110"/>
    </row>
    <row r="161">
      <c r="A161" s="97" t="s">
        <v>136</v>
      </c>
      <c r="B161" s="98" t="s">
        <v>163</v>
      </c>
      <c r="C161" s="99" t="s">
        <v>165</v>
      </c>
      <c r="D161" s="150">
        <v>70.0</v>
      </c>
      <c r="E161" s="101">
        <v>10.0</v>
      </c>
      <c r="F161" s="102">
        <f t="shared" si="8"/>
        <v>0.1806375443</v>
      </c>
      <c r="G161" s="103">
        <f t="shared" si="2"/>
        <v>1.53</v>
      </c>
      <c r="H161" s="103">
        <f t="shared" si="3"/>
        <v>8.47</v>
      </c>
      <c r="I161" s="143">
        <v>7.0</v>
      </c>
      <c r="J161" s="104"/>
      <c r="K161" s="111"/>
      <c r="L161" s="106">
        <v>0.21</v>
      </c>
      <c r="M161" s="149">
        <v>0.0</v>
      </c>
      <c r="N161" s="108" t="s">
        <v>146</v>
      </c>
      <c r="O161" s="109"/>
      <c r="P161" s="110"/>
    </row>
    <row r="162">
      <c r="A162" s="97"/>
      <c r="B162" s="98"/>
      <c r="C162" s="142" t="s">
        <v>140</v>
      </c>
      <c r="D162" s="100">
        <v>4.0</v>
      </c>
      <c r="E162" s="101">
        <v>1.0</v>
      </c>
      <c r="F162" s="102">
        <f t="shared" si="8"/>
        <v>1.066115702</v>
      </c>
      <c r="G162" s="103">
        <f t="shared" si="2"/>
        <v>0.516</v>
      </c>
      <c r="H162" s="103">
        <f t="shared" si="3"/>
        <v>0.484</v>
      </c>
      <c r="I162" s="89">
        <f t="shared" ref="I162:I164" si="24">($I$161*D162)/$D$161</f>
        <v>0.4</v>
      </c>
      <c r="J162" s="104"/>
      <c r="K162" s="111"/>
      <c r="L162" s="106">
        <v>0.21</v>
      </c>
      <c r="M162" s="149">
        <v>0.0</v>
      </c>
      <c r="N162" s="108" t="s">
        <v>146</v>
      </c>
      <c r="O162" s="109"/>
      <c r="P162" s="110"/>
    </row>
    <row r="163">
      <c r="A163" s="97"/>
      <c r="B163" s="98"/>
      <c r="C163" s="142" t="s">
        <v>120</v>
      </c>
      <c r="D163" s="100">
        <v>8.0</v>
      </c>
      <c r="E163" s="101">
        <v>1.5</v>
      </c>
      <c r="F163" s="102">
        <f t="shared" si="8"/>
        <v>0.5495867769</v>
      </c>
      <c r="G163" s="103">
        <f t="shared" si="2"/>
        <v>0.532</v>
      </c>
      <c r="H163" s="103">
        <f t="shared" si="3"/>
        <v>0.968</v>
      </c>
      <c r="I163" s="89">
        <f t="shared" si="24"/>
        <v>0.8</v>
      </c>
      <c r="J163" s="104"/>
      <c r="K163" s="111"/>
      <c r="L163" s="106">
        <v>0.21</v>
      </c>
      <c r="M163" s="149">
        <v>0.0</v>
      </c>
      <c r="N163" s="108" t="s">
        <v>146</v>
      </c>
      <c r="O163" s="109"/>
      <c r="P163" s="110"/>
    </row>
    <row r="164">
      <c r="A164" s="97"/>
      <c r="B164" s="98"/>
      <c r="C164" s="142" t="s">
        <v>141</v>
      </c>
      <c r="D164" s="100">
        <v>8.0</v>
      </c>
      <c r="E164" s="101">
        <v>2.5</v>
      </c>
      <c r="F164" s="102">
        <f t="shared" si="8"/>
        <v>1.582644628</v>
      </c>
      <c r="G164" s="103">
        <f t="shared" si="2"/>
        <v>1.532</v>
      </c>
      <c r="H164" s="103">
        <f t="shared" si="3"/>
        <v>0.968</v>
      </c>
      <c r="I164" s="89">
        <f t="shared" si="24"/>
        <v>0.8</v>
      </c>
      <c r="J164" s="104"/>
      <c r="K164" s="111"/>
      <c r="L164" s="106">
        <v>0.21</v>
      </c>
      <c r="M164" s="149">
        <v>0.0</v>
      </c>
      <c r="N164" s="108" t="s">
        <v>146</v>
      </c>
      <c r="O164" s="109"/>
      <c r="P164" s="110"/>
    </row>
    <row r="165">
      <c r="A165" s="97" t="s">
        <v>136</v>
      </c>
      <c r="B165" s="98" t="s">
        <v>166</v>
      </c>
      <c r="C165" s="99" t="s">
        <v>167</v>
      </c>
      <c r="D165" s="150">
        <v>100.0</v>
      </c>
      <c r="E165" s="101">
        <v>15.0</v>
      </c>
      <c r="F165" s="102">
        <f t="shared" si="8"/>
        <v>0.2396694215</v>
      </c>
      <c r="G165" s="103">
        <f t="shared" si="2"/>
        <v>2.9</v>
      </c>
      <c r="H165" s="103">
        <f t="shared" si="3"/>
        <v>12.1</v>
      </c>
      <c r="I165" s="143">
        <v>10.0</v>
      </c>
      <c r="J165" s="104"/>
      <c r="K165" s="111"/>
      <c r="L165" s="106">
        <v>0.21</v>
      </c>
      <c r="M165" s="149">
        <v>0.0</v>
      </c>
      <c r="N165" s="108" t="s">
        <v>168</v>
      </c>
      <c r="O165" s="109"/>
      <c r="P165" s="110"/>
    </row>
    <row r="166">
      <c r="A166" s="97"/>
      <c r="B166" s="98"/>
      <c r="C166" s="142" t="s">
        <v>140</v>
      </c>
      <c r="D166" s="100">
        <v>4.0</v>
      </c>
      <c r="E166" s="101">
        <v>1.0</v>
      </c>
      <c r="F166" s="102">
        <f t="shared" si="8"/>
        <v>1.066115702</v>
      </c>
      <c r="G166" s="103">
        <f t="shared" si="2"/>
        <v>0.516</v>
      </c>
      <c r="H166" s="103">
        <f t="shared" si="3"/>
        <v>0.484</v>
      </c>
      <c r="I166" s="89">
        <f t="shared" ref="I166:I168" si="25">($I$165*D166)/$D$165</f>
        <v>0.4</v>
      </c>
      <c r="J166" s="104"/>
      <c r="K166" s="111"/>
      <c r="L166" s="106">
        <v>0.21</v>
      </c>
      <c r="M166" s="149">
        <v>0.0</v>
      </c>
      <c r="N166" s="108" t="s">
        <v>168</v>
      </c>
      <c r="O166" s="109"/>
      <c r="P166" s="110"/>
    </row>
    <row r="167">
      <c r="A167" s="97"/>
      <c r="B167" s="98"/>
      <c r="C167" s="142" t="s">
        <v>120</v>
      </c>
      <c r="D167" s="100">
        <v>8.0</v>
      </c>
      <c r="E167" s="101">
        <v>1.5</v>
      </c>
      <c r="F167" s="102">
        <f t="shared" si="8"/>
        <v>0.5495867769</v>
      </c>
      <c r="G167" s="103">
        <f t="shared" si="2"/>
        <v>0.532</v>
      </c>
      <c r="H167" s="103">
        <f t="shared" si="3"/>
        <v>0.968</v>
      </c>
      <c r="I167" s="89">
        <f t="shared" si="25"/>
        <v>0.8</v>
      </c>
      <c r="J167" s="104"/>
      <c r="K167" s="111"/>
      <c r="L167" s="106">
        <v>0.21</v>
      </c>
      <c r="M167" s="149">
        <v>0.0</v>
      </c>
      <c r="N167" s="108" t="s">
        <v>168</v>
      </c>
      <c r="O167" s="109"/>
      <c r="P167" s="110"/>
    </row>
    <row r="168">
      <c r="A168" s="97"/>
      <c r="B168" s="98"/>
      <c r="C168" s="142" t="s">
        <v>141</v>
      </c>
      <c r="D168" s="100">
        <v>8.0</v>
      </c>
      <c r="E168" s="101">
        <v>2.5</v>
      </c>
      <c r="F168" s="102">
        <f t="shared" si="8"/>
        <v>1.582644628</v>
      </c>
      <c r="G168" s="103">
        <f t="shared" si="2"/>
        <v>1.532</v>
      </c>
      <c r="H168" s="103">
        <f t="shared" si="3"/>
        <v>0.968</v>
      </c>
      <c r="I168" s="89">
        <f t="shared" si="25"/>
        <v>0.8</v>
      </c>
      <c r="J168" s="104"/>
      <c r="K168" s="111"/>
      <c r="L168" s="106">
        <v>0.21</v>
      </c>
      <c r="M168" s="149">
        <v>0.0</v>
      </c>
      <c r="N168" s="108" t="s">
        <v>168</v>
      </c>
      <c r="O168" s="109"/>
      <c r="P168" s="110"/>
    </row>
    <row r="169">
      <c r="A169" s="97" t="s">
        <v>136</v>
      </c>
      <c r="B169" s="98" t="s">
        <v>166</v>
      </c>
      <c r="C169" s="99" t="s">
        <v>169</v>
      </c>
      <c r="D169" s="150">
        <v>70.0</v>
      </c>
      <c r="E169" s="101">
        <v>15.0</v>
      </c>
      <c r="F169" s="102">
        <f t="shared" si="8"/>
        <v>0.7709563164</v>
      </c>
      <c r="G169" s="103">
        <f t="shared" si="2"/>
        <v>6.53</v>
      </c>
      <c r="H169" s="103">
        <f t="shared" si="3"/>
        <v>8.47</v>
      </c>
      <c r="I169" s="143">
        <v>7.0</v>
      </c>
      <c r="J169" s="104"/>
      <c r="K169" s="111"/>
      <c r="L169" s="106">
        <v>0.21</v>
      </c>
      <c r="M169" s="149">
        <v>0.0</v>
      </c>
      <c r="N169" s="108" t="s">
        <v>146</v>
      </c>
      <c r="O169" s="109"/>
      <c r="P169" s="110"/>
    </row>
    <row r="170">
      <c r="A170" s="97"/>
      <c r="B170" s="98"/>
      <c r="C170" s="142" t="s">
        <v>140</v>
      </c>
      <c r="D170" s="100">
        <v>4.0</v>
      </c>
      <c r="E170" s="101">
        <v>1.0</v>
      </c>
      <c r="F170" s="102">
        <f t="shared" si="8"/>
        <v>1.066115702</v>
      </c>
      <c r="G170" s="103">
        <f t="shared" si="2"/>
        <v>0.516</v>
      </c>
      <c r="H170" s="103">
        <f t="shared" si="3"/>
        <v>0.484</v>
      </c>
      <c r="I170" s="89">
        <f t="shared" ref="I170:I172" si="26">($I$169*D170)/$D$169</f>
        <v>0.4</v>
      </c>
      <c r="J170" s="104"/>
      <c r="K170" s="111"/>
      <c r="L170" s="106">
        <v>0.21</v>
      </c>
      <c r="M170" s="149">
        <v>0.0</v>
      </c>
      <c r="N170" s="108" t="s">
        <v>146</v>
      </c>
      <c r="O170" s="109"/>
      <c r="P170" s="110"/>
    </row>
    <row r="171">
      <c r="A171" s="97"/>
      <c r="B171" s="98"/>
      <c r="C171" s="142" t="s">
        <v>120</v>
      </c>
      <c r="D171" s="100">
        <v>8.0</v>
      </c>
      <c r="E171" s="101">
        <v>1.5</v>
      </c>
      <c r="F171" s="102">
        <f t="shared" si="8"/>
        <v>0.5495867769</v>
      </c>
      <c r="G171" s="103">
        <f t="shared" si="2"/>
        <v>0.532</v>
      </c>
      <c r="H171" s="103">
        <f t="shared" si="3"/>
        <v>0.968</v>
      </c>
      <c r="I171" s="89">
        <f t="shared" si="26"/>
        <v>0.8</v>
      </c>
      <c r="J171" s="104"/>
      <c r="K171" s="111"/>
      <c r="L171" s="106">
        <v>0.21</v>
      </c>
      <c r="M171" s="149">
        <v>0.0</v>
      </c>
      <c r="N171" s="108" t="s">
        <v>146</v>
      </c>
      <c r="O171" s="109"/>
      <c r="P171" s="110"/>
    </row>
    <row r="172">
      <c r="A172" s="97"/>
      <c r="B172" s="98"/>
      <c r="C172" s="142" t="s">
        <v>141</v>
      </c>
      <c r="D172" s="100">
        <v>8.0</v>
      </c>
      <c r="E172" s="101">
        <v>3.0</v>
      </c>
      <c r="F172" s="102">
        <f t="shared" si="8"/>
        <v>2.099173554</v>
      </c>
      <c r="G172" s="103">
        <f t="shared" si="2"/>
        <v>2.032</v>
      </c>
      <c r="H172" s="103">
        <f t="shared" si="3"/>
        <v>0.968</v>
      </c>
      <c r="I172" s="89">
        <f t="shared" si="26"/>
        <v>0.8</v>
      </c>
      <c r="J172" s="104"/>
      <c r="K172" s="111"/>
      <c r="L172" s="106">
        <v>0.21</v>
      </c>
      <c r="M172" s="149">
        <v>0.0</v>
      </c>
      <c r="N172" s="108" t="s">
        <v>146</v>
      </c>
      <c r="O172" s="109"/>
      <c r="P172" s="110"/>
    </row>
    <row r="173">
      <c r="A173" s="97" t="s">
        <v>136</v>
      </c>
      <c r="B173" s="98" t="s">
        <v>166</v>
      </c>
      <c r="C173" s="99" t="s">
        <v>170</v>
      </c>
      <c r="D173" s="150">
        <v>70.0</v>
      </c>
      <c r="E173" s="101">
        <v>18.0</v>
      </c>
      <c r="F173" s="102">
        <f t="shared" si="8"/>
        <v>0.06257378985</v>
      </c>
      <c r="G173" s="103">
        <f t="shared" si="2"/>
        <v>1.06</v>
      </c>
      <c r="H173" s="103">
        <f t="shared" si="3"/>
        <v>16.94</v>
      </c>
      <c r="I173" s="143">
        <v>14.0</v>
      </c>
      <c r="J173" s="104"/>
      <c r="K173" s="111"/>
      <c r="L173" s="106">
        <v>0.21</v>
      </c>
      <c r="M173" s="149">
        <v>0.0</v>
      </c>
      <c r="N173" s="108" t="s">
        <v>146</v>
      </c>
      <c r="O173" s="109"/>
      <c r="P173" s="110"/>
    </row>
    <row r="174">
      <c r="A174" s="97"/>
      <c r="B174" s="98"/>
      <c r="C174" s="142" t="s">
        <v>140</v>
      </c>
      <c r="D174" s="100">
        <v>4.0</v>
      </c>
      <c r="E174" s="101">
        <v>1.5</v>
      </c>
      <c r="F174" s="102">
        <f t="shared" si="8"/>
        <v>0.5495867769</v>
      </c>
      <c r="G174" s="103">
        <f t="shared" si="2"/>
        <v>0.532</v>
      </c>
      <c r="H174" s="103">
        <f t="shared" si="3"/>
        <v>0.968</v>
      </c>
      <c r="I174" s="89">
        <f t="shared" ref="I174:I176" si="27">($I$173*D174)/$D$173</f>
        <v>0.8</v>
      </c>
      <c r="J174" s="104"/>
      <c r="K174" s="111"/>
      <c r="L174" s="106">
        <v>0.21</v>
      </c>
      <c r="M174" s="149">
        <v>0.0</v>
      </c>
      <c r="N174" s="108" t="s">
        <v>146</v>
      </c>
      <c r="O174" s="109"/>
      <c r="P174" s="110"/>
    </row>
    <row r="175">
      <c r="A175" s="97"/>
      <c r="B175" s="98"/>
      <c r="C175" s="142" t="s">
        <v>120</v>
      </c>
      <c r="D175" s="100">
        <v>8.0</v>
      </c>
      <c r="E175" s="101">
        <v>2.5</v>
      </c>
      <c r="F175" s="102">
        <f t="shared" si="8"/>
        <v>0.291322314</v>
      </c>
      <c r="G175" s="103">
        <f t="shared" si="2"/>
        <v>0.564</v>
      </c>
      <c r="H175" s="103">
        <f t="shared" si="3"/>
        <v>1.936</v>
      </c>
      <c r="I175" s="89">
        <f t="shared" si="27"/>
        <v>1.6</v>
      </c>
      <c r="J175" s="104"/>
      <c r="K175" s="111"/>
      <c r="L175" s="106">
        <v>0.21</v>
      </c>
      <c r="M175" s="149">
        <v>0.0</v>
      </c>
      <c r="N175" s="108" t="s">
        <v>146</v>
      </c>
      <c r="O175" s="109"/>
      <c r="P175" s="110"/>
    </row>
    <row r="176">
      <c r="A176" s="97"/>
      <c r="B176" s="98"/>
      <c r="C176" s="142" t="s">
        <v>141</v>
      </c>
      <c r="D176" s="100">
        <v>8.0</v>
      </c>
      <c r="E176" s="101">
        <v>5.0</v>
      </c>
      <c r="F176" s="102">
        <f t="shared" si="8"/>
        <v>1.582644628</v>
      </c>
      <c r="G176" s="103">
        <f t="shared" si="2"/>
        <v>3.064</v>
      </c>
      <c r="H176" s="103">
        <f t="shared" si="3"/>
        <v>1.936</v>
      </c>
      <c r="I176" s="89">
        <f t="shared" si="27"/>
        <v>1.6</v>
      </c>
      <c r="J176" s="104"/>
      <c r="K176" s="111"/>
      <c r="L176" s="106">
        <v>0.21</v>
      </c>
      <c r="M176" s="149">
        <v>0.0</v>
      </c>
      <c r="N176" s="108" t="s">
        <v>146</v>
      </c>
      <c r="O176" s="109"/>
      <c r="P176" s="110"/>
    </row>
    <row r="177">
      <c r="A177" s="97" t="s">
        <v>136</v>
      </c>
      <c r="B177" s="98" t="s">
        <v>166</v>
      </c>
      <c r="C177" s="99" t="s">
        <v>171</v>
      </c>
      <c r="D177" s="150">
        <v>100.0</v>
      </c>
      <c r="E177" s="101">
        <v>35.0</v>
      </c>
      <c r="F177" s="102">
        <f t="shared" si="8"/>
        <v>0.4462809917</v>
      </c>
      <c r="G177" s="103">
        <f t="shared" si="2"/>
        <v>10.8</v>
      </c>
      <c r="H177" s="103">
        <f t="shared" si="3"/>
        <v>24.2</v>
      </c>
      <c r="I177" s="143">
        <v>20.0</v>
      </c>
      <c r="J177" s="104"/>
      <c r="K177" s="111"/>
      <c r="L177" s="106">
        <v>0.21</v>
      </c>
      <c r="M177" s="149">
        <v>0.0</v>
      </c>
      <c r="N177" s="108" t="s">
        <v>146</v>
      </c>
      <c r="O177" s="109"/>
      <c r="P177" s="110"/>
    </row>
    <row r="178">
      <c r="A178" s="97"/>
      <c r="B178" s="98"/>
      <c r="C178" s="142" t="s">
        <v>140</v>
      </c>
      <c r="D178" s="100">
        <v>4.0</v>
      </c>
      <c r="E178" s="101">
        <v>3.0</v>
      </c>
      <c r="F178" s="102">
        <f t="shared" si="8"/>
        <v>2.099173554</v>
      </c>
      <c r="G178" s="103">
        <f t="shared" si="2"/>
        <v>2.032</v>
      </c>
      <c r="H178" s="103">
        <f t="shared" si="3"/>
        <v>0.968</v>
      </c>
      <c r="I178" s="89">
        <f t="shared" ref="I178:I180" si="28">($I$177*D178)/$D$177</f>
        <v>0.8</v>
      </c>
      <c r="J178" s="104"/>
      <c r="K178" s="111"/>
      <c r="L178" s="106">
        <v>0.21</v>
      </c>
      <c r="M178" s="149">
        <v>0.0</v>
      </c>
      <c r="N178" s="108" t="s">
        <v>146</v>
      </c>
      <c r="O178" s="109"/>
      <c r="P178" s="110"/>
    </row>
    <row r="179">
      <c r="A179" s="97"/>
      <c r="B179" s="98"/>
      <c r="C179" s="142" t="s">
        <v>120</v>
      </c>
      <c r="D179" s="100">
        <v>8.0</v>
      </c>
      <c r="E179" s="101">
        <v>6.0</v>
      </c>
      <c r="F179" s="102">
        <f t="shared" si="8"/>
        <v>2.099173554</v>
      </c>
      <c r="G179" s="103">
        <f t="shared" si="2"/>
        <v>4.064</v>
      </c>
      <c r="H179" s="103">
        <f t="shared" si="3"/>
        <v>1.936</v>
      </c>
      <c r="I179" s="89">
        <f t="shared" si="28"/>
        <v>1.6</v>
      </c>
      <c r="J179" s="104"/>
      <c r="K179" s="111"/>
      <c r="L179" s="106">
        <v>0.21</v>
      </c>
      <c r="M179" s="149">
        <v>0.0</v>
      </c>
      <c r="N179" s="108" t="s">
        <v>146</v>
      </c>
      <c r="O179" s="109"/>
      <c r="P179" s="110"/>
    </row>
    <row r="180">
      <c r="A180" s="97"/>
      <c r="B180" s="98"/>
      <c r="C180" s="142" t="s">
        <v>141</v>
      </c>
      <c r="D180" s="100">
        <v>8.0</v>
      </c>
      <c r="E180" s="101">
        <v>10.0</v>
      </c>
      <c r="F180" s="102">
        <f t="shared" si="8"/>
        <v>4.165289256</v>
      </c>
      <c r="G180" s="103">
        <f t="shared" si="2"/>
        <v>8.064</v>
      </c>
      <c r="H180" s="103">
        <f t="shared" si="3"/>
        <v>1.936</v>
      </c>
      <c r="I180" s="89">
        <f t="shared" si="28"/>
        <v>1.6</v>
      </c>
      <c r="J180" s="104"/>
      <c r="K180" s="111"/>
      <c r="L180" s="106">
        <v>0.21</v>
      </c>
      <c r="M180" s="149">
        <v>0.0</v>
      </c>
      <c r="N180" s="108" t="s">
        <v>146</v>
      </c>
      <c r="O180" s="109"/>
      <c r="P180" s="110"/>
    </row>
    <row r="181">
      <c r="A181" s="97" t="s">
        <v>136</v>
      </c>
      <c r="B181" s="98" t="s">
        <v>166</v>
      </c>
      <c r="C181" s="99" t="s">
        <v>172</v>
      </c>
      <c r="D181" s="150">
        <v>100.0</v>
      </c>
      <c r="E181" s="101">
        <v>12.0</v>
      </c>
      <c r="F181" s="102">
        <f t="shared" si="8"/>
        <v>0.2396694215</v>
      </c>
      <c r="G181" s="103">
        <f t="shared" si="2"/>
        <v>2.32</v>
      </c>
      <c r="H181" s="103">
        <f t="shared" si="3"/>
        <v>9.68</v>
      </c>
      <c r="I181" s="143">
        <v>8.0</v>
      </c>
      <c r="J181" s="104"/>
      <c r="K181" s="111"/>
      <c r="L181" s="106">
        <v>0.21</v>
      </c>
      <c r="M181" s="149">
        <v>0.0</v>
      </c>
      <c r="N181" s="108" t="s">
        <v>146</v>
      </c>
      <c r="O181" s="109"/>
      <c r="P181" s="110"/>
    </row>
    <row r="182">
      <c r="A182" s="97"/>
      <c r="B182" s="98"/>
      <c r="C182" s="142" t="s">
        <v>140</v>
      </c>
      <c r="D182" s="100">
        <v>4.0</v>
      </c>
      <c r="E182" s="101">
        <v>1.0</v>
      </c>
      <c r="F182" s="102">
        <f t="shared" si="8"/>
        <v>1.582644628</v>
      </c>
      <c r="G182" s="103">
        <f t="shared" si="2"/>
        <v>0.6128</v>
      </c>
      <c r="H182" s="103">
        <f t="shared" si="3"/>
        <v>0.3872</v>
      </c>
      <c r="I182" s="89">
        <f t="shared" ref="I182:I184" si="29">($I$181*D182)/$D$181</f>
        <v>0.32</v>
      </c>
      <c r="J182" s="104"/>
      <c r="K182" s="111"/>
      <c r="L182" s="106">
        <v>0.21</v>
      </c>
      <c r="M182" s="149">
        <v>0.0</v>
      </c>
      <c r="N182" s="108" t="s">
        <v>146</v>
      </c>
      <c r="O182" s="109"/>
      <c r="P182" s="110"/>
    </row>
    <row r="183">
      <c r="A183" s="97"/>
      <c r="B183" s="98"/>
      <c r="C183" s="142" t="s">
        <v>120</v>
      </c>
      <c r="D183" s="100">
        <v>8.0</v>
      </c>
      <c r="E183" s="101">
        <v>1.5</v>
      </c>
      <c r="F183" s="102">
        <f t="shared" si="8"/>
        <v>0.9369834711</v>
      </c>
      <c r="G183" s="103">
        <f t="shared" si="2"/>
        <v>0.7256</v>
      </c>
      <c r="H183" s="103">
        <f t="shared" si="3"/>
        <v>0.7744</v>
      </c>
      <c r="I183" s="89">
        <f t="shared" si="29"/>
        <v>0.64</v>
      </c>
      <c r="J183" s="104"/>
      <c r="K183" s="111"/>
      <c r="L183" s="106">
        <v>0.21</v>
      </c>
      <c r="M183" s="149">
        <v>0.0</v>
      </c>
      <c r="N183" s="108" t="s">
        <v>146</v>
      </c>
      <c r="O183" s="109"/>
      <c r="P183" s="110"/>
    </row>
    <row r="184">
      <c r="A184" s="97"/>
      <c r="B184" s="98"/>
      <c r="C184" s="142" t="s">
        <v>141</v>
      </c>
      <c r="D184" s="100">
        <v>8.0</v>
      </c>
      <c r="E184" s="101">
        <v>2.5</v>
      </c>
      <c r="F184" s="102">
        <f t="shared" si="8"/>
        <v>2.228305785</v>
      </c>
      <c r="G184" s="103">
        <f t="shared" si="2"/>
        <v>1.7256</v>
      </c>
      <c r="H184" s="103">
        <f t="shared" si="3"/>
        <v>0.7744</v>
      </c>
      <c r="I184" s="89">
        <f t="shared" si="29"/>
        <v>0.64</v>
      </c>
      <c r="J184" s="104"/>
      <c r="K184" s="111"/>
      <c r="L184" s="106">
        <v>0.21</v>
      </c>
      <c r="M184" s="149">
        <v>0.0</v>
      </c>
      <c r="N184" s="108" t="s">
        <v>146</v>
      </c>
      <c r="O184" s="109"/>
      <c r="P184" s="110"/>
    </row>
    <row r="185">
      <c r="A185" s="97" t="s">
        <v>136</v>
      </c>
      <c r="B185" s="98" t="s">
        <v>166</v>
      </c>
      <c r="C185" s="99" t="s">
        <v>173</v>
      </c>
      <c r="D185" s="150">
        <v>70.0</v>
      </c>
      <c r="E185" s="101">
        <v>16.0</v>
      </c>
      <c r="F185" s="102">
        <f t="shared" si="8"/>
        <v>0.2678288431</v>
      </c>
      <c r="G185" s="103">
        <f t="shared" si="2"/>
        <v>3.38</v>
      </c>
      <c r="H185" s="103">
        <f t="shared" si="3"/>
        <v>12.62</v>
      </c>
      <c r="I185" s="143">
        <v>10.0</v>
      </c>
      <c r="J185" s="104">
        <v>1.0</v>
      </c>
      <c r="K185" s="111">
        <v>12.45</v>
      </c>
      <c r="L185" s="106">
        <v>0.21</v>
      </c>
      <c r="M185" s="107">
        <v>0.052</v>
      </c>
      <c r="N185" s="108" t="s">
        <v>146</v>
      </c>
      <c r="O185" s="109"/>
      <c r="P185" s="110"/>
    </row>
    <row r="186">
      <c r="A186" s="97"/>
      <c r="B186" s="98"/>
      <c r="C186" s="142" t="s">
        <v>140</v>
      </c>
      <c r="D186" s="100">
        <v>4.0</v>
      </c>
      <c r="E186" s="101">
        <v>1.0</v>
      </c>
      <c r="F186" s="102">
        <f t="shared" si="8"/>
        <v>0.3866877971</v>
      </c>
      <c r="G186" s="103">
        <f t="shared" si="2"/>
        <v>0.2788571429</v>
      </c>
      <c r="H186" s="103">
        <f t="shared" si="3"/>
        <v>0.7211428571</v>
      </c>
      <c r="I186" s="89">
        <f t="shared" ref="I186:I188" si="30">($I$185*D186)/$D$185</f>
        <v>0.5714285714</v>
      </c>
      <c r="J186" s="104"/>
      <c r="K186" s="111">
        <v>12.45</v>
      </c>
      <c r="L186" s="106">
        <v>0.21</v>
      </c>
      <c r="M186" s="107">
        <v>0.052</v>
      </c>
      <c r="N186" s="108" t="s">
        <v>146</v>
      </c>
      <c r="O186" s="109"/>
      <c r="P186" s="110"/>
    </row>
    <row r="187">
      <c r="A187" s="97"/>
      <c r="B187" s="98"/>
      <c r="C187" s="142" t="s">
        <v>120</v>
      </c>
      <c r="D187" s="100">
        <v>8.0</v>
      </c>
      <c r="E187" s="101">
        <v>2.0</v>
      </c>
      <c r="F187" s="102">
        <f t="shared" si="8"/>
        <v>0.3866877971</v>
      </c>
      <c r="G187" s="103">
        <f t="shared" si="2"/>
        <v>0.5577142857</v>
      </c>
      <c r="H187" s="103">
        <f t="shared" si="3"/>
        <v>1.442285714</v>
      </c>
      <c r="I187" s="89">
        <f t="shared" si="30"/>
        <v>1.142857143</v>
      </c>
      <c r="J187" s="104"/>
      <c r="K187" s="111">
        <v>12.45</v>
      </c>
      <c r="L187" s="106">
        <v>0.21</v>
      </c>
      <c r="M187" s="107">
        <v>0.052</v>
      </c>
      <c r="N187" s="108" t="s">
        <v>146</v>
      </c>
      <c r="O187" s="109"/>
      <c r="P187" s="110"/>
    </row>
    <row r="188">
      <c r="A188" s="97"/>
      <c r="B188" s="98"/>
      <c r="C188" s="142" t="s">
        <v>141</v>
      </c>
      <c r="D188" s="100">
        <v>8.0</v>
      </c>
      <c r="E188" s="101">
        <v>3.5</v>
      </c>
      <c r="F188" s="102">
        <f t="shared" si="8"/>
        <v>1.426703645</v>
      </c>
      <c r="G188" s="103">
        <f t="shared" si="2"/>
        <v>2.057714286</v>
      </c>
      <c r="H188" s="103">
        <f t="shared" si="3"/>
        <v>1.442285714</v>
      </c>
      <c r="I188" s="89">
        <f t="shared" si="30"/>
        <v>1.142857143</v>
      </c>
      <c r="J188" s="104"/>
      <c r="K188" s="111">
        <v>12.45</v>
      </c>
      <c r="L188" s="106">
        <v>0.21</v>
      </c>
      <c r="M188" s="107">
        <v>0.052</v>
      </c>
      <c r="N188" s="108" t="s">
        <v>146</v>
      </c>
      <c r="O188" s="109"/>
      <c r="P188" s="110"/>
    </row>
    <row r="189">
      <c r="A189" s="97" t="s">
        <v>136</v>
      </c>
      <c r="B189" s="98" t="s">
        <v>166</v>
      </c>
      <c r="C189" s="99" t="s">
        <v>174</v>
      </c>
      <c r="D189" s="150">
        <v>70.0</v>
      </c>
      <c r="E189" s="101">
        <v>20.0</v>
      </c>
      <c r="F189" s="102">
        <f t="shared" si="8"/>
        <v>0.4407145944</v>
      </c>
      <c r="G189" s="103">
        <f t="shared" si="2"/>
        <v>6.118</v>
      </c>
      <c r="H189" s="103">
        <f t="shared" si="3"/>
        <v>13.882</v>
      </c>
      <c r="I189" s="143">
        <v>11.0</v>
      </c>
      <c r="J189" s="104">
        <v>1.0</v>
      </c>
      <c r="K189" s="111">
        <v>13.42</v>
      </c>
      <c r="L189" s="106">
        <v>0.21</v>
      </c>
      <c r="M189" s="107">
        <v>0.052</v>
      </c>
      <c r="N189" s="108" t="s">
        <v>161</v>
      </c>
      <c r="O189" s="109"/>
      <c r="P189" s="110"/>
    </row>
    <row r="190">
      <c r="A190" s="97"/>
      <c r="B190" s="98"/>
      <c r="C190" s="142" t="s">
        <v>140</v>
      </c>
      <c r="D190" s="100">
        <v>4.0</v>
      </c>
      <c r="E190" s="101">
        <v>1.0</v>
      </c>
      <c r="F190" s="102">
        <f t="shared" si="8"/>
        <v>0.2606252701</v>
      </c>
      <c r="G190" s="103">
        <f t="shared" si="2"/>
        <v>0.2067428571</v>
      </c>
      <c r="H190" s="103">
        <f t="shared" si="3"/>
        <v>0.7932571429</v>
      </c>
      <c r="I190" s="89">
        <f t="shared" ref="I190:I192" si="31">($I$189*D190)/$D$189</f>
        <v>0.6285714286</v>
      </c>
      <c r="J190" s="104"/>
      <c r="K190" s="111">
        <v>13.42</v>
      </c>
      <c r="L190" s="106">
        <v>0.21</v>
      </c>
      <c r="M190" s="107">
        <v>0.052</v>
      </c>
      <c r="N190" s="108" t="s">
        <v>161</v>
      </c>
      <c r="O190" s="109"/>
      <c r="P190" s="110"/>
    </row>
    <row r="191">
      <c r="A191" s="97"/>
      <c r="B191" s="98"/>
      <c r="C191" s="142" t="s">
        <v>120</v>
      </c>
      <c r="D191" s="100">
        <v>8.0</v>
      </c>
      <c r="E191" s="101">
        <v>2.0</v>
      </c>
      <c r="F191" s="102">
        <f t="shared" si="8"/>
        <v>0.2606252701</v>
      </c>
      <c r="G191" s="103">
        <f t="shared" si="2"/>
        <v>0.4134857143</v>
      </c>
      <c r="H191" s="103">
        <f t="shared" si="3"/>
        <v>1.586514286</v>
      </c>
      <c r="I191" s="89">
        <f t="shared" si="31"/>
        <v>1.257142857</v>
      </c>
      <c r="J191" s="104"/>
      <c r="K191" s="111">
        <v>13.42</v>
      </c>
      <c r="L191" s="106">
        <v>0.21</v>
      </c>
      <c r="M191" s="107">
        <v>0.052</v>
      </c>
      <c r="N191" s="108" t="s">
        <v>161</v>
      </c>
      <c r="O191" s="109"/>
      <c r="P191" s="110"/>
    </row>
    <row r="192">
      <c r="A192" s="97"/>
      <c r="B192" s="98"/>
      <c r="C192" s="142" t="s">
        <v>141</v>
      </c>
      <c r="D192" s="100">
        <v>10.0</v>
      </c>
      <c r="E192" s="101">
        <v>3.0</v>
      </c>
      <c r="F192" s="102">
        <f t="shared" si="8"/>
        <v>0.5127503242</v>
      </c>
      <c r="G192" s="103">
        <f t="shared" si="2"/>
        <v>1.016857143</v>
      </c>
      <c r="H192" s="103">
        <f t="shared" si="3"/>
        <v>1.983142857</v>
      </c>
      <c r="I192" s="89">
        <f t="shared" si="31"/>
        <v>1.571428571</v>
      </c>
      <c r="J192" s="104"/>
      <c r="K192" s="111">
        <v>13.42</v>
      </c>
      <c r="L192" s="106">
        <v>0.21</v>
      </c>
      <c r="M192" s="107">
        <v>0.052</v>
      </c>
      <c r="N192" s="108" t="s">
        <v>161</v>
      </c>
      <c r="O192" s="109"/>
      <c r="P192" s="110"/>
    </row>
    <row r="193">
      <c r="A193" s="97" t="s">
        <v>136</v>
      </c>
      <c r="B193" s="98" t="s">
        <v>166</v>
      </c>
      <c r="C193" s="99" t="s">
        <v>175</v>
      </c>
      <c r="D193" s="150">
        <v>70.0</v>
      </c>
      <c r="E193" s="101">
        <v>17.0</v>
      </c>
      <c r="F193" s="102">
        <f t="shared" si="8"/>
        <v>0.5610651974</v>
      </c>
      <c r="G193" s="103">
        <f t="shared" si="2"/>
        <v>6.11</v>
      </c>
      <c r="H193" s="103">
        <f t="shared" si="3"/>
        <v>10.89</v>
      </c>
      <c r="I193" s="143">
        <v>9.0</v>
      </c>
      <c r="J193" s="104"/>
      <c r="K193" s="111"/>
      <c r="L193" s="106">
        <v>0.21</v>
      </c>
      <c r="M193" s="149">
        <v>0.0</v>
      </c>
      <c r="N193" s="108" t="s">
        <v>146</v>
      </c>
      <c r="O193" s="109"/>
      <c r="P193" s="110"/>
    </row>
    <row r="194">
      <c r="A194" s="97"/>
      <c r="B194" s="98"/>
      <c r="C194" s="142" t="s">
        <v>140</v>
      </c>
      <c r="D194" s="100">
        <v>4.0</v>
      </c>
      <c r="E194" s="101">
        <v>1.0</v>
      </c>
      <c r="F194" s="102">
        <f t="shared" si="8"/>
        <v>0.6069788797</v>
      </c>
      <c r="G194" s="103">
        <f t="shared" si="2"/>
        <v>0.3777142857</v>
      </c>
      <c r="H194" s="103">
        <f t="shared" si="3"/>
        <v>0.6222857143</v>
      </c>
      <c r="I194" s="89">
        <f t="shared" ref="I194:I196" si="32">($I$193*D194)/$D$193</f>
        <v>0.5142857143</v>
      </c>
      <c r="J194" s="104"/>
      <c r="K194" s="111"/>
      <c r="L194" s="106">
        <v>0.21</v>
      </c>
      <c r="M194" s="149">
        <v>0.0</v>
      </c>
      <c r="N194" s="108" t="s">
        <v>146</v>
      </c>
      <c r="O194" s="109"/>
      <c r="P194" s="110"/>
    </row>
    <row r="195">
      <c r="A195" s="97"/>
      <c r="B195" s="98"/>
      <c r="C195" s="142" t="s">
        <v>120</v>
      </c>
      <c r="D195" s="100">
        <v>8.0</v>
      </c>
      <c r="E195" s="101">
        <v>1.5</v>
      </c>
      <c r="F195" s="102">
        <f t="shared" si="8"/>
        <v>0.2052341598</v>
      </c>
      <c r="G195" s="103">
        <f t="shared" si="2"/>
        <v>0.2554285714</v>
      </c>
      <c r="H195" s="103">
        <f t="shared" si="3"/>
        <v>1.244571429</v>
      </c>
      <c r="I195" s="89">
        <f t="shared" si="32"/>
        <v>1.028571429</v>
      </c>
      <c r="J195" s="104"/>
      <c r="K195" s="111"/>
      <c r="L195" s="106">
        <v>0.21</v>
      </c>
      <c r="M195" s="149">
        <v>0.0</v>
      </c>
      <c r="N195" s="108" t="s">
        <v>146</v>
      </c>
      <c r="O195" s="109"/>
      <c r="P195" s="110"/>
    </row>
    <row r="196">
      <c r="A196" s="97"/>
      <c r="B196" s="98"/>
      <c r="C196" s="142" t="s">
        <v>141</v>
      </c>
      <c r="D196" s="100">
        <v>8.0</v>
      </c>
      <c r="E196" s="101">
        <v>3.0</v>
      </c>
      <c r="F196" s="102">
        <f t="shared" si="8"/>
        <v>1.41046832</v>
      </c>
      <c r="G196" s="103">
        <f t="shared" si="2"/>
        <v>1.755428571</v>
      </c>
      <c r="H196" s="103">
        <f t="shared" si="3"/>
        <v>1.244571429</v>
      </c>
      <c r="I196" s="89">
        <f t="shared" si="32"/>
        <v>1.028571429</v>
      </c>
      <c r="J196" s="104"/>
      <c r="K196" s="111"/>
      <c r="L196" s="106">
        <v>0.21</v>
      </c>
      <c r="M196" s="149">
        <v>0.0</v>
      </c>
      <c r="N196" s="108" t="s">
        <v>146</v>
      </c>
      <c r="O196" s="109"/>
      <c r="P196" s="110"/>
    </row>
    <row r="197">
      <c r="A197" s="97" t="s">
        <v>136</v>
      </c>
      <c r="B197" s="98" t="s">
        <v>163</v>
      </c>
      <c r="C197" s="99" t="s">
        <v>176</v>
      </c>
      <c r="D197" s="150">
        <v>100.0</v>
      </c>
      <c r="E197" s="101">
        <v>12.0</v>
      </c>
      <c r="F197" s="102">
        <f t="shared" si="8"/>
        <v>0.9834710744</v>
      </c>
      <c r="G197" s="103">
        <f t="shared" si="2"/>
        <v>5.95</v>
      </c>
      <c r="H197" s="103">
        <f t="shared" si="3"/>
        <v>6.05</v>
      </c>
      <c r="I197" s="143">
        <v>5.0</v>
      </c>
      <c r="J197" s="104"/>
      <c r="K197" s="111"/>
      <c r="L197" s="106">
        <v>0.21</v>
      </c>
      <c r="M197" s="149">
        <v>0.0</v>
      </c>
      <c r="N197" s="108" t="s">
        <v>139</v>
      </c>
      <c r="O197" s="109"/>
      <c r="P197" s="110"/>
    </row>
    <row r="198">
      <c r="A198" s="97"/>
      <c r="B198" s="98"/>
      <c r="C198" s="142" t="s">
        <v>140</v>
      </c>
      <c r="D198" s="100">
        <v>4.0</v>
      </c>
      <c r="E198" s="101">
        <v>1.0</v>
      </c>
      <c r="F198" s="102">
        <f t="shared" si="8"/>
        <v>3.132231405</v>
      </c>
      <c r="G198" s="103">
        <f t="shared" si="2"/>
        <v>0.758</v>
      </c>
      <c r="H198" s="103">
        <f t="shared" si="3"/>
        <v>0.242</v>
      </c>
      <c r="I198" s="89">
        <f t="shared" ref="I198:I199" si="33">($I$197*D198)/$D$197</f>
        <v>0.2</v>
      </c>
      <c r="J198" s="104"/>
      <c r="K198" s="111"/>
      <c r="L198" s="106">
        <v>0.21</v>
      </c>
      <c r="M198" s="149">
        <v>0.0</v>
      </c>
      <c r="N198" s="108" t="s">
        <v>139</v>
      </c>
      <c r="O198" s="109"/>
      <c r="P198" s="110"/>
    </row>
    <row r="199">
      <c r="A199" s="97"/>
      <c r="B199" s="98"/>
      <c r="C199" s="142" t="s">
        <v>120</v>
      </c>
      <c r="D199" s="100">
        <v>8.0</v>
      </c>
      <c r="E199" s="101">
        <v>1.5</v>
      </c>
      <c r="F199" s="102">
        <f t="shared" si="8"/>
        <v>2.099173554</v>
      </c>
      <c r="G199" s="103">
        <f t="shared" si="2"/>
        <v>1.016</v>
      </c>
      <c r="H199" s="103">
        <f t="shared" si="3"/>
        <v>0.484</v>
      </c>
      <c r="I199" s="89">
        <f t="shared" si="33"/>
        <v>0.4</v>
      </c>
      <c r="J199" s="104"/>
      <c r="K199" s="111"/>
      <c r="L199" s="106">
        <v>0.21</v>
      </c>
      <c r="M199" s="149">
        <v>0.0</v>
      </c>
      <c r="N199" s="108" t="s">
        <v>139</v>
      </c>
      <c r="O199" s="109"/>
      <c r="P199" s="110"/>
    </row>
    <row r="200">
      <c r="A200" s="97" t="s">
        <v>136</v>
      </c>
      <c r="B200" s="98" t="s">
        <v>163</v>
      </c>
      <c r="C200" s="99" t="s">
        <v>177</v>
      </c>
      <c r="D200" s="150">
        <v>70.0</v>
      </c>
      <c r="E200" s="101">
        <v>12.0</v>
      </c>
      <c r="F200" s="102">
        <f t="shared" si="8"/>
        <v>0.2396694215</v>
      </c>
      <c r="G200" s="103">
        <f t="shared" si="2"/>
        <v>2.32</v>
      </c>
      <c r="H200" s="103">
        <f t="shared" si="3"/>
        <v>9.68</v>
      </c>
      <c r="I200" s="143">
        <v>8.0</v>
      </c>
      <c r="J200" s="104"/>
      <c r="K200" s="111"/>
      <c r="L200" s="106">
        <v>0.21</v>
      </c>
      <c r="M200" s="149">
        <v>0.0</v>
      </c>
      <c r="N200" s="108" t="s">
        <v>146</v>
      </c>
      <c r="O200" s="109"/>
      <c r="P200" s="110"/>
    </row>
    <row r="201">
      <c r="A201" s="97"/>
      <c r="B201" s="98"/>
      <c r="C201" s="142" t="s">
        <v>140</v>
      </c>
      <c r="D201" s="100">
        <v>4.0</v>
      </c>
      <c r="E201" s="101">
        <v>1.0</v>
      </c>
      <c r="F201" s="102">
        <f t="shared" si="8"/>
        <v>0.8078512397</v>
      </c>
      <c r="G201" s="103">
        <f t="shared" si="2"/>
        <v>0.4468571429</v>
      </c>
      <c r="H201" s="103">
        <f t="shared" si="3"/>
        <v>0.5531428571</v>
      </c>
      <c r="I201" s="89">
        <f t="shared" ref="I201:I202" si="34">($I$200*D201)/$D$200</f>
        <v>0.4571428571</v>
      </c>
      <c r="J201" s="104"/>
      <c r="K201" s="111"/>
      <c r="L201" s="106">
        <v>0.21</v>
      </c>
      <c r="M201" s="149">
        <v>0.0</v>
      </c>
      <c r="N201" s="108" t="s">
        <v>146</v>
      </c>
      <c r="O201" s="109"/>
      <c r="P201" s="110"/>
    </row>
    <row r="202">
      <c r="A202" s="97"/>
      <c r="B202" s="98"/>
      <c r="C202" s="142" t="s">
        <v>120</v>
      </c>
      <c r="D202" s="100">
        <v>8.0</v>
      </c>
      <c r="E202" s="101">
        <v>1.5</v>
      </c>
      <c r="F202" s="102">
        <f t="shared" si="8"/>
        <v>0.3558884298</v>
      </c>
      <c r="G202" s="103">
        <f t="shared" si="2"/>
        <v>0.3937142857</v>
      </c>
      <c r="H202" s="103">
        <f t="shared" si="3"/>
        <v>1.106285714</v>
      </c>
      <c r="I202" s="89">
        <f t="shared" si="34"/>
        <v>0.9142857143</v>
      </c>
      <c r="J202" s="104"/>
      <c r="K202" s="111"/>
      <c r="L202" s="106">
        <v>0.21</v>
      </c>
      <c r="M202" s="149">
        <v>0.0</v>
      </c>
      <c r="N202" s="108" t="s">
        <v>146</v>
      </c>
      <c r="O202" s="109"/>
      <c r="P202" s="110"/>
    </row>
    <row r="203">
      <c r="A203" s="97" t="s">
        <v>136</v>
      </c>
      <c r="B203" s="98" t="s">
        <v>163</v>
      </c>
      <c r="C203" s="99" t="s">
        <v>178</v>
      </c>
      <c r="D203" s="150">
        <v>70.0</v>
      </c>
      <c r="E203" s="101">
        <v>15.0</v>
      </c>
      <c r="F203" s="102">
        <f t="shared" si="8"/>
        <v>0.2396694215</v>
      </c>
      <c r="G203" s="103">
        <f t="shared" si="2"/>
        <v>2.9</v>
      </c>
      <c r="H203" s="103">
        <f t="shared" si="3"/>
        <v>12.1</v>
      </c>
      <c r="I203" s="143">
        <v>10.0</v>
      </c>
      <c r="J203" s="104"/>
      <c r="K203" s="111"/>
      <c r="L203" s="106">
        <v>0.21</v>
      </c>
      <c r="M203" s="149">
        <v>0.0</v>
      </c>
      <c r="N203" s="108" t="s">
        <v>146</v>
      </c>
      <c r="O203" s="109"/>
      <c r="P203" s="110"/>
    </row>
    <row r="204">
      <c r="A204" s="97"/>
      <c r="B204" s="98"/>
      <c r="C204" s="142" t="s">
        <v>140</v>
      </c>
      <c r="D204" s="100">
        <v>4.0</v>
      </c>
      <c r="E204" s="101">
        <v>1.0</v>
      </c>
      <c r="F204" s="102">
        <f t="shared" si="8"/>
        <v>0.4462809917</v>
      </c>
      <c r="G204" s="103">
        <f t="shared" si="2"/>
        <v>0.3085714286</v>
      </c>
      <c r="H204" s="103">
        <f t="shared" si="3"/>
        <v>0.6914285714</v>
      </c>
      <c r="I204" s="89">
        <f t="shared" ref="I204:I206" si="35">($I$203*D204)/$D$203</f>
        <v>0.5714285714</v>
      </c>
      <c r="J204" s="104"/>
      <c r="K204" s="111"/>
      <c r="L204" s="106">
        <v>0.21</v>
      </c>
      <c r="M204" s="149">
        <v>0.0</v>
      </c>
      <c r="N204" s="108" t="s">
        <v>146</v>
      </c>
      <c r="O204" s="109"/>
      <c r="P204" s="110"/>
    </row>
    <row r="205">
      <c r="A205" s="97"/>
      <c r="B205" s="98"/>
      <c r="C205" s="142" t="s">
        <v>120</v>
      </c>
      <c r="D205" s="100">
        <v>8.0</v>
      </c>
      <c r="E205" s="101">
        <v>2.0</v>
      </c>
      <c r="F205" s="102">
        <f t="shared" si="8"/>
        <v>0.4462809917</v>
      </c>
      <c r="G205" s="103">
        <f t="shared" si="2"/>
        <v>0.6171428571</v>
      </c>
      <c r="H205" s="103">
        <f t="shared" si="3"/>
        <v>1.382857143</v>
      </c>
      <c r="I205" s="89">
        <f t="shared" si="35"/>
        <v>1.142857143</v>
      </c>
      <c r="J205" s="104"/>
      <c r="K205" s="111"/>
      <c r="L205" s="106">
        <v>0.21</v>
      </c>
      <c r="M205" s="149">
        <v>0.0</v>
      </c>
      <c r="N205" s="108" t="s">
        <v>146</v>
      </c>
      <c r="O205" s="109"/>
      <c r="P205" s="110"/>
    </row>
    <row r="206">
      <c r="A206" s="97"/>
      <c r="B206" s="98"/>
      <c r="C206" s="142" t="s">
        <v>141</v>
      </c>
      <c r="D206" s="100">
        <v>8.0</v>
      </c>
      <c r="E206" s="101">
        <v>3.5</v>
      </c>
      <c r="F206" s="102">
        <f t="shared" si="8"/>
        <v>1.530991736</v>
      </c>
      <c r="G206" s="103">
        <f t="shared" si="2"/>
        <v>2.117142857</v>
      </c>
      <c r="H206" s="103">
        <f t="shared" si="3"/>
        <v>1.382857143</v>
      </c>
      <c r="I206" s="89">
        <f t="shared" si="35"/>
        <v>1.142857143</v>
      </c>
      <c r="J206" s="104"/>
      <c r="K206" s="111"/>
      <c r="L206" s="106">
        <v>0.21</v>
      </c>
      <c r="M206" s="149">
        <v>0.0</v>
      </c>
      <c r="N206" s="108" t="s">
        <v>146</v>
      </c>
      <c r="O206" s="109"/>
      <c r="P206" s="110"/>
    </row>
    <row r="207">
      <c r="A207" s="97" t="s">
        <v>136</v>
      </c>
      <c r="B207" s="98" t="s">
        <v>179</v>
      </c>
      <c r="C207" s="99" t="s">
        <v>180</v>
      </c>
      <c r="D207" s="150">
        <v>70.0</v>
      </c>
      <c r="E207" s="101">
        <v>20.0</v>
      </c>
      <c r="F207" s="102">
        <f t="shared" si="8"/>
        <v>0.5461327355</v>
      </c>
      <c r="G207" s="103">
        <f t="shared" si="2"/>
        <v>7.0645</v>
      </c>
      <c r="H207" s="103">
        <f t="shared" si="3"/>
        <v>12.9355</v>
      </c>
      <c r="I207" s="143">
        <v>10.25</v>
      </c>
      <c r="J207" s="104"/>
      <c r="K207" s="111"/>
      <c r="L207" s="106">
        <v>0.21</v>
      </c>
      <c r="M207" s="107">
        <v>0.052</v>
      </c>
      <c r="N207" s="108" t="s">
        <v>52</v>
      </c>
      <c r="O207" s="109"/>
      <c r="P207" s="110"/>
    </row>
    <row r="208">
      <c r="A208" s="97"/>
      <c r="B208" s="98"/>
      <c r="C208" s="142" t="s">
        <v>140</v>
      </c>
      <c r="D208" s="100">
        <v>4.0</v>
      </c>
      <c r="E208" s="101">
        <v>2.5</v>
      </c>
      <c r="F208" s="102">
        <f t="shared" si="8"/>
        <v>2.382165359</v>
      </c>
      <c r="G208" s="103">
        <f t="shared" si="2"/>
        <v>1.760828571</v>
      </c>
      <c r="H208" s="103">
        <f t="shared" si="3"/>
        <v>0.7391714286</v>
      </c>
      <c r="I208" s="89">
        <f t="shared" ref="I208:I210" si="36">($I$207*D208)/$D$207</f>
        <v>0.5857142857</v>
      </c>
      <c r="J208" s="104"/>
      <c r="K208" s="111"/>
      <c r="L208" s="106">
        <v>0.21</v>
      </c>
      <c r="M208" s="107">
        <v>0.052</v>
      </c>
      <c r="N208" s="108" t="s">
        <v>52</v>
      </c>
      <c r="O208" s="109"/>
      <c r="P208" s="110"/>
    </row>
    <row r="209">
      <c r="A209" s="97"/>
      <c r="B209" s="98"/>
      <c r="C209" s="142" t="s">
        <v>120</v>
      </c>
      <c r="D209" s="100">
        <v>8.0</v>
      </c>
      <c r="E209" s="101">
        <v>5.0</v>
      </c>
      <c r="F209" s="102">
        <f t="shared" si="8"/>
        <v>2.382165359</v>
      </c>
      <c r="G209" s="103">
        <f t="shared" si="2"/>
        <v>3.521657143</v>
      </c>
      <c r="H209" s="103">
        <f t="shared" si="3"/>
        <v>1.478342857</v>
      </c>
      <c r="I209" s="89">
        <f t="shared" si="36"/>
        <v>1.171428571</v>
      </c>
      <c r="J209" s="104"/>
      <c r="K209" s="111"/>
      <c r="L209" s="106">
        <v>0.21</v>
      </c>
      <c r="M209" s="107">
        <v>0.052</v>
      </c>
      <c r="N209" s="108" t="s">
        <v>52</v>
      </c>
      <c r="O209" s="109"/>
      <c r="P209" s="110"/>
    </row>
    <row r="210">
      <c r="A210" s="97"/>
      <c r="B210" s="98"/>
      <c r="C210" s="142" t="s">
        <v>141</v>
      </c>
      <c r="D210" s="100">
        <v>8.0</v>
      </c>
      <c r="E210" s="101">
        <v>9.5</v>
      </c>
      <c r="F210" s="102">
        <f t="shared" si="8"/>
        <v>5.426114182</v>
      </c>
      <c r="G210" s="103">
        <f t="shared" si="2"/>
        <v>8.021657143</v>
      </c>
      <c r="H210" s="103">
        <f t="shared" si="3"/>
        <v>1.478342857</v>
      </c>
      <c r="I210" s="89">
        <f t="shared" si="36"/>
        <v>1.171428571</v>
      </c>
      <c r="J210" s="104"/>
      <c r="K210" s="111"/>
      <c r="L210" s="106">
        <v>0.21</v>
      </c>
      <c r="M210" s="107">
        <v>0.052</v>
      </c>
      <c r="N210" s="108" t="s">
        <v>52</v>
      </c>
      <c r="O210" s="109"/>
      <c r="P210" s="110"/>
    </row>
    <row r="211">
      <c r="A211" s="97" t="s">
        <v>136</v>
      </c>
      <c r="B211" s="98" t="s">
        <v>163</v>
      </c>
      <c r="C211" s="99" t="s">
        <v>181</v>
      </c>
      <c r="D211" s="150">
        <v>70.0</v>
      </c>
      <c r="E211" s="101">
        <v>10.0</v>
      </c>
      <c r="F211" s="102">
        <f t="shared" si="8"/>
        <v>0.652892562</v>
      </c>
      <c r="G211" s="103">
        <f t="shared" si="2"/>
        <v>3.95</v>
      </c>
      <c r="H211" s="103">
        <f t="shared" si="3"/>
        <v>6.05</v>
      </c>
      <c r="I211" s="143">
        <v>5.0</v>
      </c>
      <c r="J211" s="104"/>
      <c r="K211" s="111"/>
      <c r="L211" s="106">
        <v>0.21</v>
      </c>
      <c r="M211" s="149">
        <v>0.0</v>
      </c>
      <c r="N211" s="108" t="s">
        <v>139</v>
      </c>
      <c r="O211" s="109"/>
      <c r="P211" s="110"/>
    </row>
    <row r="212">
      <c r="A212" s="97"/>
      <c r="B212" s="98"/>
      <c r="C212" s="142" t="s">
        <v>140</v>
      </c>
      <c r="D212" s="100">
        <v>4.0</v>
      </c>
      <c r="E212" s="101">
        <v>1.0</v>
      </c>
      <c r="F212" s="102">
        <f t="shared" si="8"/>
        <v>1.892561983</v>
      </c>
      <c r="G212" s="103">
        <f t="shared" si="2"/>
        <v>0.6542857143</v>
      </c>
      <c r="H212" s="103">
        <f t="shared" si="3"/>
        <v>0.3457142857</v>
      </c>
      <c r="I212" s="89">
        <f t="shared" ref="I212:I214" si="37">($I$211*D212)/$D$211</f>
        <v>0.2857142857</v>
      </c>
      <c r="J212" s="104"/>
      <c r="K212" s="111"/>
      <c r="L212" s="106">
        <v>0.21</v>
      </c>
      <c r="M212" s="149">
        <v>0.0</v>
      </c>
      <c r="N212" s="108" t="s">
        <v>139</v>
      </c>
      <c r="O212" s="109"/>
      <c r="P212" s="110"/>
    </row>
    <row r="213">
      <c r="A213" s="97"/>
      <c r="B213" s="98"/>
      <c r="C213" s="142" t="s">
        <v>120</v>
      </c>
      <c r="D213" s="100">
        <v>8.0</v>
      </c>
      <c r="E213" s="101">
        <v>1.5</v>
      </c>
      <c r="F213" s="102">
        <f t="shared" si="8"/>
        <v>1.169421488</v>
      </c>
      <c r="G213" s="103">
        <f t="shared" si="2"/>
        <v>0.8085714286</v>
      </c>
      <c r="H213" s="103">
        <f t="shared" si="3"/>
        <v>0.6914285714</v>
      </c>
      <c r="I213" s="89">
        <f t="shared" si="37"/>
        <v>0.5714285714</v>
      </c>
      <c r="J213" s="104"/>
      <c r="K213" s="111"/>
      <c r="L213" s="106">
        <v>0.21</v>
      </c>
      <c r="M213" s="149">
        <v>0.0</v>
      </c>
      <c r="N213" s="108" t="s">
        <v>139</v>
      </c>
      <c r="O213" s="109"/>
      <c r="P213" s="110"/>
    </row>
    <row r="214">
      <c r="A214" s="97"/>
      <c r="B214" s="98"/>
      <c r="C214" s="142" t="s">
        <v>141</v>
      </c>
      <c r="D214" s="100">
        <v>8.0</v>
      </c>
      <c r="E214" s="101">
        <v>2.0</v>
      </c>
      <c r="F214" s="102">
        <f t="shared" si="8"/>
        <v>1.892561983</v>
      </c>
      <c r="G214" s="103">
        <f t="shared" si="2"/>
        <v>1.308571429</v>
      </c>
      <c r="H214" s="103">
        <f t="shared" si="3"/>
        <v>0.6914285714</v>
      </c>
      <c r="I214" s="89">
        <f t="shared" si="37"/>
        <v>0.5714285714</v>
      </c>
      <c r="J214" s="104"/>
      <c r="K214" s="111"/>
      <c r="L214" s="106">
        <v>0.21</v>
      </c>
      <c r="M214" s="149">
        <v>0.0</v>
      </c>
      <c r="N214" s="108" t="s">
        <v>139</v>
      </c>
      <c r="O214" s="109"/>
      <c r="P214" s="110"/>
    </row>
    <row r="215">
      <c r="A215" s="97" t="s">
        <v>136</v>
      </c>
      <c r="B215" s="98" t="s">
        <v>163</v>
      </c>
      <c r="C215" s="99" t="s">
        <v>182</v>
      </c>
      <c r="D215" s="150">
        <v>70.0</v>
      </c>
      <c r="E215" s="101">
        <v>12.0</v>
      </c>
      <c r="F215" s="102">
        <f t="shared" si="8"/>
        <v>0.652892562</v>
      </c>
      <c r="G215" s="103">
        <f t="shared" si="2"/>
        <v>4.74</v>
      </c>
      <c r="H215" s="103">
        <f t="shared" si="3"/>
        <v>7.26</v>
      </c>
      <c r="I215" s="143">
        <v>6.0</v>
      </c>
      <c r="J215" s="104"/>
      <c r="K215" s="111"/>
      <c r="L215" s="106">
        <v>0.21</v>
      </c>
      <c r="M215" s="149">
        <v>0.0</v>
      </c>
      <c r="N215" s="108" t="s">
        <v>139</v>
      </c>
      <c r="O215" s="109"/>
      <c r="P215" s="110"/>
    </row>
    <row r="216">
      <c r="A216" s="97"/>
      <c r="B216" s="98"/>
      <c r="C216" s="142" t="s">
        <v>140</v>
      </c>
      <c r="D216" s="100">
        <v>4.0</v>
      </c>
      <c r="E216" s="101">
        <v>1.0</v>
      </c>
      <c r="F216" s="102">
        <f t="shared" si="8"/>
        <v>1.41046832</v>
      </c>
      <c r="G216" s="103">
        <f t="shared" si="2"/>
        <v>0.5851428571</v>
      </c>
      <c r="H216" s="103">
        <f t="shared" si="3"/>
        <v>0.4148571429</v>
      </c>
      <c r="I216" s="89">
        <f t="shared" ref="I216:I218" si="38">($I$215*D216)/$D$215</f>
        <v>0.3428571429</v>
      </c>
      <c r="J216" s="104"/>
      <c r="K216" s="111"/>
      <c r="L216" s="106">
        <v>0.21</v>
      </c>
      <c r="M216" s="149">
        <v>0.0</v>
      </c>
      <c r="N216" s="108" t="s">
        <v>139</v>
      </c>
      <c r="O216" s="109"/>
      <c r="P216" s="110"/>
    </row>
    <row r="217">
      <c r="A217" s="97"/>
      <c r="B217" s="98"/>
      <c r="C217" s="142" t="s">
        <v>120</v>
      </c>
      <c r="D217" s="100">
        <v>8.0</v>
      </c>
      <c r="E217" s="101">
        <v>1.5</v>
      </c>
      <c r="F217" s="102">
        <f t="shared" si="8"/>
        <v>0.8078512397</v>
      </c>
      <c r="G217" s="103">
        <f t="shared" si="2"/>
        <v>0.6702857143</v>
      </c>
      <c r="H217" s="103">
        <f t="shared" si="3"/>
        <v>0.8297142857</v>
      </c>
      <c r="I217" s="89">
        <f t="shared" si="38"/>
        <v>0.6857142857</v>
      </c>
      <c r="J217" s="104"/>
      <c r="K217" s="111"/>
      <c r="L217" s="106">
        <v>0.21</v>
      </c>
      <c r="M217" s="149">
        <v>0.0</v>
      </c>
      <c r="N217" s="108" t="s">
        <v>139</v>
      </c>
      <c r="O217" s="109"/>
      <c r="P217" s="110"/>
    </row>
    <row r="218">
      <c r="A218" s="97"/>
      <c r="B218" s="98"/>
      <c r="C218" s="142" t="s">
        <v>141</v>
      </c>
      <c r="D218" s="100">
        <v>8.0</v>
      </c>
      <c r="E218" s="101">
        <v>2.0</v>
      </c>
      <c r="F218" s="102">
        <f t="shared" si="8"/>
        <v>1.41046832</v>
      </c>
      <c r="G218" s="103">
        <f t="shared" si="2"/>
        <v>1.170285714</v>
      </c>
      <c r="H218" s="103">
        <f t="shared" si="3"/>
        <v>0.8297142857</v>
      </c>
      <c r="I218" s="89">
        <f t="shared" si="38"/>
        <v>0.6857142857</v>
      </c>
      <c r="J218" s="104"/>
      <c r="K218" s="111"/>
      <c r="L218" s="106">
        <v>0.21</v>
      </c>
      <c r="M218" s="149">
        <v>0.0</v>
      </c>
      <c r="N218" s="108" t="s">
        <v>139</v>
      </c>
      <c r="O218" s="109"/>
      <c r="P218" s="110"/>
    </row>
    <row r="219">
      <c r="A219" s="97" t="s">
        <v>136</v>
      </c>
      <c r="B219" s="98" t="s">
        <v>163</v>
      </c>
      <c r="C219" s="99" t="s">
        <v>183</v>
      </c>
      <c r="D219" s="150">
        <v>70.0</v>
      </c>
      <c r="E219" s="101">
        <v>10.0</v>
      </c>
      <c r="F219" s="102">
        <f t="shared" si="8"/>
        <v>0.652892562</v>
      </c>
      <c r="G219" s="103">
        <f t="shared" si="2"/>
        <v>3.95</v>
      </c>
      <c r="H219" s="103">
        <f t="shared" si="3"/>
        <v>6.05</v>
      </c>
      <c r="I219" s="143">
        <v>5.0</v>
      </c>
      <c r="J219" s="104"/>
      <c r="K219" s="111"/>
      <c r="L219" s="106">
        <v>0.21</v>
      </c>
      <c r="M219" s="149">
        <v>0.0</v>
      </c>
      <c r="N219" s="108" t="s">
        <v>139</v>
      </c>
      <c r="O219" s="109"/>
      <c r="P219" s="110"/>
    </row>
    <row r="220">
      <c r="A220" s="97"/>
      <c r="B220" s="98"/>
      <c r="C220" s="142" t="s">
        <v>140</v>
      </c>
      <c r="D220" s="100">
        <v>4.0</v>
      </c>
      <c r="E220" s="101">
        <v>1.0</v>
      </c>
      <c r="F220" s="102">
        <f t="shared" si="8"/>
        <v>1.892561983</v>
      </c>
      <c r="G220" s="103">
        <f t="shared" si="2"/>
        <v>0.6542857143</v>
      </c>
      <c r="H220" s="103">
        <f t="shared" si="3"/>
        <v>0.3457142857</v>
      </c>
      <c r="I220" s="89">
        <f t="shared" ref="I220:I222" si="39">($I$219*D220)/$D$219</f>
        <v>0.2857142857</v>
      </c>
      <c r="J220" s="104"/>
      <c r="K220" s="111"/>
      <c r="L220" s="106">
        <v>0.21</v>
      </c>
      <c r="M220" s="149">
        <v>0.0</v>
      </c>
      <c r="N220" s="108" t="s">
        <v>139</v>
      </c>
      <c r="O220" s="109"/>
      <c r="P220" s="110"/>
    </row>
    <row r="221">
      <c r="A221" s="97"/>
      <c r="B221" s="98"/>
      <c r="C221" s="142" t="s">
        <v>120</v>
      </c>
      <c r="D221" s="100">
        <v>8.0</v>
      </c>
      <c r="E221" s="101">
        <v>1.5</v>
      </c>
      <c r="F221" s="102">
        <f t="shared" si="8"/>
        <v>1.169421488</v>
      </c>
      <c r="G221" s="103">
        <f t="shared" si="2"/>
        <v>0.8085714286</v>
      </c>
      <c r="H221" s="103">
        <f t="shared" si="3"/>
        <v>0.6914285714</v>
      </c>
      <c r="I221" s="89">
        <f t="shared" si="39"/>
        <v>0.5714285714</v>
      </c>
      <c r="J221" s="104"/>
      <c r="K221" s="111"/>
      <c r="L221" s="106">
        <v>0.21</v>
      </c>
      <c r="M221" s="149">
        <v>0.0</v>
      </c>
      <c r="N221" s="108" t="s">
        <v>139</v>
      </c>
      <c r="O221" s="109"/>
      <c r="P221" s="110"/>
    </row>
    <row r="222">
      <c r="A222" s="97"/>
      <c r="B222" s="98"/>
      <c r="C222" s="142" t="s">
        <v>141</v>
      </c>
      <c r="D222" s="100">
        <v>8.0</v>
      </c>
      <c r="E222" s="101">
        <v>2.0</v>
      </c>
      <c r="F222" s="102">
        <f t="shared" si="8"/>
        <v>1.892561983</v>
      </c>
      <c r="G222" s="103">
        <f t="shared" si="2"/>
        <v>1.308571429</v>
      </c>
      <c r="H222" s="103">
        <f t="shared" si="3"/>
        <v>0.6914285714</v>
      </c>
      <c r="I222" s="89">
        <f t="shared" si="39"/>
        <v>0.5714285714</v>
      </c>
      <c r="J222" s="104"/>
      <c r="K222" s="111"/>
      <c r="L222" s="106">
        <v>0.21</v>
      </c>
      <c r="M222" s="149">
        <v>0.0</v>
      </c>
      <c r="N222" s="108" t="s">
        <v>139</v>
      </c>
      <c r="O222" s="109"/>
      <c r="P222" s="110"/>
    </row>
    <row r="223">
      <c r="A223" s="97" t="s">
        <v>136</v>
      </c>
      <c r="B223" s="98" t="s">
        <v>163</v>
      </c>
      <c r="C223" s="99" t="s">
        <v>184</v>
      </c>
      <c r="D223" s="150">
        <v>70.0</v>
      </c>
      <c r="E223" s="101">
        <v>18.0</v>
      </c>
      <c r="F223" s="102">
        <f t="shared" si="8"/>
        <v>1.12514758</v>
      </c>
      <c r="G223" s="103">
        <f t="shared" si="2"/>
        <v>9.53</v>
      </c>
      <c r="H223" s="103">
        <f t="shared" si="3"/>
        <v>8.47</v>
      </c>
      <c r="I223" s="143">
        <v>7.0</v>
      </c>
      <c r="J223" s="104"/>
      <c r="K223" s="111"/>
      <c r="L223" s="106">
        <v>0.21</v>
      </c>
      <c r="M223" s="149">
        <v>0.0</v>
      </c>
      <c r="N223" s="108" t="s">
        <v>146</v>
      </c>
      <c r="O223" s="109"/>
      <c r="P223" s="110"/>
    </row>
    <row r="224">
      <c r="A224" s="97"/>
      <c r="B224" s="98"/>
      <c r="C224" s="142" t="s">
        <v>140</v>
      </c>
      <c r="D224" s="100">
        <v>4.0</v>
      </c>
      <c r="E224" s="101">
        <v>1.0</v>
      </c>
      <c r="F224" s="102">
        <f t="shared" si="8"/>
        <v>1.066115702</v>
      </c>
      <c r="G224" s="103">
        <f t="shared" si="2"/>
        <v>0.516</v>
      </c>
      <c r="H224" s="103">
        <f t="shared" si="3"/>
        <v>0.484</v>
      </c>
      <c r="I224" s="89">
        <f t="shared" ref="I224:I226" si="40">($I$223*D224)/$D$223</f>
        <v>0.4</v>
      </c>
      <c r="J224" s="104"/>
      <c r="K224" s="111"/>
      <c r="L224" s="106">
        <v>0.21</v>
      </c>
      <c r="M224" s="149">
        <v>0.0</v>
      </c>
      <c r="N224" s="108" t="s">
        <v>146</v>
      </c>
      <c r="O224" s="109"/>
      <c r="P224" s="110" t="s">
        <v>185</v>
      </c>
    </row>
    <row r="225">
      <c r="A225" s="97"/>
      <c r="B225" s="98"/>
      <c r="C225" s="142" t="s">
        <v>120</v>
      </c>
      <c r="D225" s="100">
        <v>8.0</v>
      </c>
      <c r="E225" s="101">
        <v>1.5</v>
      </c>
      <c r="F225" s="102">
        <f t="shared" si="8"/>
        <v>0.5495867769</v>
      </c>
      <c r="G225" s="103">
        <f t="shared" si="2"/>
        <v>0.532</v>
      </c>
      <c r="H225" s="103">
        <f t="shared" si="3"/>
        <v>0.968</v>
      </c>
      <c r="I225" s="89">
        <f t="shared" si="40"/>
        <v>0.8</v>
      </c>
      <c r="J225" s="104"/>
      <c r="K225" s="111"/>
      <c r="L225" s="106">
        <v>0.21</v>
      </c>
      <c r="M225" s="149">
        <v>0.0</v>
      </c>
      <c r="N225" s="108" t="s">
        <v>146</v>
      </c>
      <c r="O225" s="109"/>
      <c r="P225" s="110"/>
    </row>
    <row r="226">
      <c r="A226" s="97"/>
      <c r="B226" s="98"/>
      <c r="C226" s="142" t="s">
        <v>141</v>
      </c>
      <c r="D226" s="100">
        <v>8.0</v>
      </c>
      <c r="E226" s="101">
        <v>2.5</v>
      </c>
      <c r="F226" s="102">
        <f t="shared" si="8"/>
        <v>1.582644628</v>
      </c>
      <c r="G226" s="103">
        <f t="shared" si="2"/>
        <v>1.532</v>
      </c>
      <c r="H226" s="103">
        <f t="shared" si="3"/>
        <v>0.968</v>
      </c>
      <c r="I226" s="89">
        <f t="shared" si="40"/>
        <v>0.8</v>
      </c>
      <c r="J226" s="104"/>
      <c r="K226" s="111"/>
      <c r="L226" s="106">
        <v>0.21</v>
      </c>
      <c r="M226" s="149">
        <v>0.0</v>
      </c>
      <c r="N226" s="108" t="s">
        <v>146</v>
      </c>
      <c r="O226" s="109"/>
      <c r="P226" s="110"/>
    </row>
    <row r="227">
      <c r="A227" s="97" t="s">
        <v>136</v>
      </c>
      <c r="B227" s="98" t="s">
        <v>163</v>
      </c>
      <c r="C227" s="99" t="s">
        <v>186</v>
      </c>
      <c r="D227" s="150">
        <v>100.0</v>
      </c>
      <c r="E227" s="101">
        <v>12.0</v>
      </c>
      <c r="F227" s="102">
        <f t="shared" si="8"/>
        <v>0.652892562</v>
      </c>
      <c r="G227" s="103">
        <f t="shared" si="2"/>
        <v>4.74</v>
      </c>
      <c r="H227" s="103">
        <f t="shared" si="3"/>
        <v>7.26</v>
      </c>
      <c r="I227" s="143">
        <v>6.0</v>
      </c>
      <c r="J227" s="104"/>
      <c r="K227" s="111"/>
      <c r="L227" s="106">
        <v>0.21</v>
      </c>
      <c r="M227" s="149">
        <v>0.0</v>
      </c>
      <c r="N227" s="108" t="s">
        <v>139</v>
      </c>
      <c r="O227" s="109"/>
      <c r="P227" s="110"/>
    </row>
    <row r="228">
      <c r="A228" s="97"/>
      <c r="B228" s="98"/>
      <c r="C228" s="142" t="s">
        <v>140</v>
      </c>
      <c r="D228" s="100">
        <v>4.0</v>
      </c>
      <c r="E228" s="101">
        <v>1.0</v>
      </c>
      <c r="F228" s="102">
        <f t="shared" si="8"/>
        <v>2.443526171</v>
      </c>
      <c r="G228" s="103">
        <f t="shared" si="2"/>
        <v>0.7096</v>
      </c>
      <c r="H228" s="103">
        <f t="shared" si="3"/>
        <v>0.2904</v>
      </c>
      <c r="I228" s="89">
        <f t="shared" ref="I228:I230" si="41">($I$227*D228)/$D$227</f>
        <v>0.24</v>
      </c>
      <c r="J228" s="104"/>
      <c r="K228" s="111"/>
      <c r="L228" s="106">
        <v>0.21</v>
      </c>
      <c r="M228" s="149">
        <v>0.0</v>
      </c>
      <c r="N228" s="108" t="s">
        <v>139</v>
      </c>
      <c r="O228" s="109"/>
      <c r="P228" s="110"/>
    </row>
    <row r="229">
      <c r="A229" s="97"/>
      <c r="B229" s="98"/>
      <c r="C229" s="142" t="s">
        <v>120</v>
      </c>
      <c r="D229" s="100">
        <v>8.0</v>
      </c>
      <c r="E229" s="101">
        <v>1.5</v>
      </c>
      <c r="F229" s="102">
        <f t="shared" si="8"/>
        <v>1.582644628</v>
      </c>
      <c r="G229" s="103">
        <f t="shared" si="2"/>
        <v>0.9192</v>
      </c>
      <c r="H229" s="103">
        <f t="shared" si="3"/>
        <v>0.5808</v>
      </c>
      <c r="I229" s="89">
        <f t="shared" si="41"/>
        <v>0.48</v>
      </c>
      <c r="J229" s="104"/>
      <c r="K229" s="111"/>
      <c r="L229" s="106">
        <v>0.21</v>
      </c>
      <c r="M229" s="149">
        <v>0.0</v>
      </c>
      <c r="N229" s="108" t="s">
        <v>139</v>
      </c>
      <c r="O229" s="109"/>
      <c r="P229" s="110"/>
    </row>
    <row r="230">
      <c r="A230" s="97"/>
      <c r="B230" s="98"/>
      <c r="C230" s="142" t="s">
        <v>141</v>
      </c>
      <c r="D230" s="100">
        <v>8.0</v>
      </c>
      <c r="E230" s="101">
        <v>2.0</v>
      </c>
      <c r="F230" s="102">
        <f t="shared" si="8"/>
        <v>2.443526171</v>
      </c>
      <c r="G230" s="103">
        <f t="shared" si="2"/>
        <v>1.4192</v>
      </c>
      <c r="H230" s="103">
        <f t="shared" si="3"/>
        <v>0.5808</v>
      </c>
      <c r="I230" s="89">
        <f t="shared" si="41"/>
        <v>0.48</v>
      </c>
      <c r="J230" s="104"/>
      <c r="K230" s="111"/>
      <c r="L230" s="106">
        <v>0.21</v>
      </c>
      <c r="M230" s="149">
        <v>0.0</v>
      </c>
      <c r="N230" s="108" t="s">
        <v>139</v>
      </c>
      <c r="O230" s="109"/>
      <c r="P230" s="110"/>
    </row>
    <row r="231">
      <c r="A231" s="97" t="s">
        <v>136</v>
      </c>
      <c r="B231" s="98" t="s">
        <v>163</v>
      </c>
      <c r="C231" s="99" t="s">
        <v>187</v>
      </c>
      <c r="D231" s="150">
        <v>100.0</v>
      </c>
      <c r="E231" s="101">
        <v>12.0</v>
      </c>
      <c r="F231" s="102">
        <f t="shared" si="8"/>
        <v>0.652892562</v>
      </c>
      <c r="G231" s="103">
        <f t="shared" si="2"/>
        <v>4.74</v>
      </c>
      <c r="H231" s="103">
        <f t="shared" si="3"/>
        <v>7.26</v>
      </c>
      <c r="I231" s="143">
        <v>6.0</v>
      </c>
      <c r="J231" s="104"/>
      <c r="K231" s="111"/>
      <c r="L231" s="106">
        <v>0.21</v>
      </c>
      <c r="M231" s="149">
        <v>0.0</v>
      </c>
      <c r="N231" s="108" t="s">
        <v>139</v>
      </c>
      <c r="O231" s="109"/>
      <c r="P231" s="110"/>
    </row>
    <row r="232">
      <c r="A232" s="97"/>
      <c r="B232" s="98"/>
      <c r="C232" s="142" t="s">
        <v>140</v>
      </c>
      <c r="D232" s="100">
        <v>4.0</v>
      </c>
      <c r="E232" s="101">
        <v>1.0</v>
      </c>
      <c r="F232" s="102">
        <f t="shared" si="8"/>
        <v>2.443526171</v>
      </c>
      <c r="G232" s="103">
        <f t="shared" si="2"/>
        <v>0.7096</v>
      </c>
      <c r="H232" s="103">
        <f t="shared" si="3"/>
        <v>0.2904</v>
      </c>
      <c r="I232" s="89">
        <f t="shared" ref="I232:I234" si="42">($I$231*D232)/$D$231</f>
        <v>0.24</v>
      </c>
      <c r="J232" s="104"/>
      <c r="K232" s="111"/>
      <c r="L232" s="106">
        <v>0.21</v>
      </c>
      <c r="M232" s="149">
        <v>0.0</v>
      </c>
      <c r="N232" s="108" t="s">
        <v>139</v>
      </c>
      <c r="O232" s="109"/>
      <c r="P232" s="110"/>
    </row>
    <row r="233">
      <c r="A233" s="97"/>
      <c r="B233" s="98"/>
      <c r="C233" s="142" t="s">
        <v>120</v>
      </c>
      <c r="D233" s="100">
        <v>8.0</v>
      </c>
      <c r="E233" s="101">
        <v>1.5</v>
      </c>
      <c r="F233" s="102">
        <f t="shared" si="8"/>
        <v>1.582644628</v>
      </c>
      <c r="G233" s="103">
        <f t="shared" si="2"/>
        <v>0.9192</v>
      </c>
      <c r="H233" s="103">
        <f t="shared" si="3"/>
        <v>0.5808</v>
      </c>
      <c r="I233" s="89">
        <f t="shared" si="42"/>
        <v>0.48</v>
      </c>
      <c r="J233" s="104"/>
      <c r="K233" s="111"/>
      <c r="L233" s="106">
        <v>0.21</v>
      </c>
      <c r="M233" s="149">
        <v>0.0</v>
      </c>
      <c r="N233" s="108" t="s">
        <v>139</v>
      </c>
      <c r="O233" s="109"/>
      <c r="P233" s="110"/>
    </row>
    <row r="234">
      <c r="A234" s="97"/>
      <c r="B234" s="98"/>
      <c r="C234" s="142" t="s">
        <v>141</v>
      </c>
      <c r="D234" s="100">
        <v>8.0</v>
      </c>
      <c r="E234" s="101">
        <v>2.0</v>
      </c>
      <c r="F234" s="102">
        <f t="shared" si="8"/>
        <v>2.443526171</v>
      </c>
      <c r="G234" s="103">
        <f t="shared" si="2"/>
        <v>1.4192</v>
      </c>
      <c r="H234" s="103">
        <f t="shared" si="3"/>
        <v>0.5808</v>
      </c>
      <c r="I234" s="89">
        <f t="shared" si="42"/>
        <v>0.48</v>
      </c>
      <c r="J234" s="104"/>
      <c r="K234" s="111"/>
      <c r="L234" s="106">
        <v>0.21</v>
      </c>
      <c r="M234" s="149">
        <v>0.0</v>
      </c>
      <c r="N234" s="108" t="s">
        <v>139</v>
      </c>
      <c r="O234" s="109"/>
      <c r="P234" s="110"/>
    </row>
    <row r="235">
      <c r="A235" s="97" t="s">
        <v>136</v>
      </c>
      <c r="B235" s="98" t="s">
        <v>163</v>
      </c>
      <c r="C235" s="99" t="s">
        <v>188</v>
      </c>
      <c r="D235" s="150">
        <v>100.0</v>
      </c>
      <c r="E235" s="101">
        <v>15.0</v>
      </c>
      <c r="F235" s="102">
        <f t="shared" si="8"/>
        <v>0.258547636</v>
      </c>
      <c r="G235" s="103">
        <f t="shared" si="2"/>
        <v>3.0815</v>
      </c>
      <c r="H235" s="103">
        <f t="shared" si="3"/>
        <v>11.9185</v>
      </c>
      <c r="I235" s="143">
        <v>9.85</v>
      </c>
      <c r="J235" s="104"/>
      <c r="K235" s="111"/>
      <c r="L235" s="106">
        <v>0.21</v>
      </c>
      <c r="M235" s="149">
        <v>0.0</v>
      </c>
      <c r="N235" s="108" t="s">
        <v>139</v>
      </c>
      <c r="O235" s="109"/>
      <c r="P235" s="110"/>
    </row>
    <row r="236">
      <c r="A236" s="97"/>
      <c r="B236" s="98"/>
      <c r="C236" s="142" t="s">
        <v>140</v>
      </c>
      <c r="D236" s="100">
        <v>4.0</v>
      </c>
      <c r="E236" s="101">
        <v>1.0</v>
      </c>
      <c r="F236" s="102">
        <f t="shared" si="8"/>
        <v>1.097579393</v>
      </c>
      <c r="G236" s="103">
        <f t="shared" si="2"/>
        <v>0.52326</v>
      </c>
      <c r="H236" s="103">
        <f t="shared" si="3"/>
        <v>0.47674</v>
      </c>
      <c r="I236" s="89">
        <f t="shared" ref="I236:I238" si="43">($I$235*D236)/$D$235</f>
        <v>0.394</v>
      </c>
      <c r="J236" s="104"/>
      <c r="K236" s="111"/>
      <c r="L236" s="106">
        <v>0.21</v>
      </c>
      <c r="M236" s="149">
        <v>0.0</v>
      </c>
      <c r="N236" s="108" t="s">
        <v>139</v>
      </c>
      <c r="O236" s="109"/>
      <c r="P236" s="110"/>
    </row>
    <row r="237">
      <c r="A237" s="97"/>
      <c r="B237" s="98"/>
      <c r="C237" s="142" t="s">
        <v>120</v>
      </c>
      <c r="D237" s="100">
        <v>8.0</v>
      </c>
      <c r="E237" s="101">
        <v>1.5</v>
      </c>
      <c r="F237" s="102">
        <f t="shared" si="8"/>
        <v>0.573184545</v>
      </c>
      <c r="G237" s="103">
        <f t="shared" si="2"/>
        <v>0.54652</v>
      </c>
      <c r="H237" s="103">
        <f t="shared" si="3"/>
        <v>0.95348</v>
      </c>
      <c r="I237" s="89">
        <f t="shared" si="43"/>
        <v>0.788</v>
      </c>
      <c r="J237" s="104"/>
      <c r="K237" s="111"/>
      <c r="L237" s="106">
        <v>0.21</v>
      </c>
      <c r="M237" s="149">
        <v>0.0</v>
      </c>
      <c r="N237" s="108" t="s">
        <v>139</v>
      </c>
      <c r="O237" s="109"/>
      <c r="P237" s="110"/>
    </row>
    <row r="238">
      <c r="A238" s="97"/>
      <c r="B238" s="98"/>
      <c r="C238" s="142" t="s">
        <v>141</v>
      </c>
      <c r="D238" s="100">
        <v>8.0</v>
      </c>
      <c r="E238" s="101">
        <v>2.0</v>
      </c>
      <c r="F238" s="102">
        <f t="shared" si="8"/>
        <v>1.097579393</v>
      </c>
      <c r="G238" s="103">
        <f t="shared" si="2"/>
        <v>1.04652</v>
      </c>
      <c r="H238" s="103">
        <f t="shared" si="3"/>
        <v>0.95348</v>
      </c>
      <c r="I238" s="89">
        <f t="shared" si="43"/>
        <v>0.788</v>
      </c>
      <c r="J238" s="104"/>
      <c r="K238" s="111"/>
      <c r="L238" s="106">
        <v>0.21</v>
      </c>
      <c r="M238" s="149">
        <v>0.0</v>
      </c>
      <c r="N238" s="108" t="s">
        <v>139</v>
      </c>
      <c r="O238" s="109"/>
      <c r="P238" s="110"/>
    </row>
    <row r="239">
      <c r="A239" s="97" t="s">
        <v>136</v>
      </c>
      <c r="B239" s="98" t="s">
        <v>163</v>
      </c>
      <c r="C239" s="99" t="s">
        <v>189</v>
      </c>
      <c r="D239" s="150">
        <v>70.0</v>
      </c>
      <c r="E239" s="101">
        <v>12.0</v>
      </c>
      <c r="F239" s="102">
        <f t="shared" si="8"/>
        <v>0.4167650531</v>
      </c>
      <c r="G239" s="103">
        <f t="shared" si="2"/>
        <v>3.53</v>
      </c>
      <c r="H239" s="103">
        <f t="shared" si="3"/>
        <v>8.47</v>
      </c>
      <c r="I239" s="143">
        <v>7.0</v>
      </c>
      <c r="J239" s="104"/>
      <c r="K239" s="111"/>
      <c r="L239" s="106">
        <v>0.21</v>
      </c>
      <c r="M239" s="149">
        <v>0.0</v>
      </c>
      <c r="N239" s="108" t="s">
        <v>146</v>
      </c>
      <c r="O239" s="109"/>
      <c r="P239" s="110"/>
    </row>
    <row r="240">
      <c r="A240" s="97"/>
      <c r="B240" s="98"/>
      <c r="C240" s="142" t="s">
        <v>140</v>
      </c>
      <c r="D240" s="100">
        <v>4.0</v>
      </c>
      <c r="E240" s="101">
        <v>1.0</v>
      </c>
      <c r="F240" s="102">
        <f t="shared" si="8"/>
        <v>1.066115702</v>
      </c>
      <c r="G240" s="103">
        <f t="shared" si="2"/>
        <v>0.516</v>
      </c>
      <c r="H240" s="103">
        <f t="shared" si="3"/>
        <v>0.484</v>
      </c>
      <c r="I240" s="89">
        <f t="shared" ref="I240:I242" si="44">($I$239*D240)/$D$239</f>
        <v>0.4</v>
      </c>
      <c r="J240" s="104"/>
      <c r="K240" s="111"/>
      <c r="L240" s="106">
        <v>0.21</v>
      </c>
      <c r="M240" s="149">
        <v>0.0</v>
      </c>
      <c r="N240" s="108" t="s">
        <v>146</v>
      </c>
      <c r="O240" s="109"/>
      <c r="P240" s="110"/>
    </row>
    <row r="241">
      <c r="A241" s="97"/>
      <c r="B241" s="98"/>
      <c r="C241" s="142" t="s">
        <v>120</v>
      </c>
      <c r="D241" s="100">
        <v>8.0</v>
      </c>
      <c r="E241" s="101">
        <v>1.5</v>
      </c>
      <c r="F241" s="102">
        <f t="shared" si="8"/>
        <v>0.5495867769</v>
      </c>
      <c r="G241" s="103">
        <f t="shared" si="2"/>
        <v>0.532</v>
      </c>
      <c r="H241" s="103">
        <f t="shared" si="3"/>
        <v>0.968</v>
      </c>
      <c r="I241" s="89">
        <f t="shared" si="44"/>
        <v>0.8</v>
      </c>
      <c r="J241" s="104"/>
      <c r="K241" s="111"/>
      <c r="L241" s="106">
        <v>0.21</v>
      </c>
      <c r="M241" s="149">
        <v>0.0</v>
      </c>
      <c r="N241" s="108" t="s">
        <v>146</v>
      </c>
      <c r="O241" s="109"/>
      <c r="P241" s="110"/>
    </row>
    <row r="242">
      <c r="A242" s="97"/>
      <c r="B242" s="98"/>
      <c r="C242" s="142" t="s">
        <v>141</v>
      </c>
      <c r="D242" s="100">
        <v>8.0</v>
      </c>
      <c r="E242" s="101">
        <v>2.5</v>
      </c>
      <c r="F242" s="102">
        <f t="shared" si="8"/>
        <v>1.582644628</v>
      </c>
      <c r="G242" s="103">
        <f t="shared" si="2"/>
        <v>1.532</v>
      </c>
      <c r="H242" s="103">
        <f t="shared" si="3"/>
        <v>0.968</v>
      </c>
      <c r="I242" s="89">
        <f t="shared" si="44"/>
        <v>0.8</v>
      </c>
      <c r="J242" s="104"/>
      <c r="K242" s="111"/>
      <c r="L242" s="106">
        <v>0.21</v>
      </c>
      <c r="M242" s="149">
        <v>0.0</v>
      </c>
      <c r="N242" s="108" t="s">
        <v>146</v>
      </c>
      <c r="O242" s="109"/>
      <c r="P242" s="110"/>
    </row>
    <row r="243">
      <c r="A243" s="97" t="s">
        <v>136</v>
      </c>
      <c r="B243" s="98" t="s">
        <v>190</v>
      </c>
      <c r="C243" s="99" t="s">
        <v>191</v>
      </c>
      <c r="D243" s="150">
        <v>100.0</v>
      </c>
      <c r="E243" s="101">
        <v>14.0</v>
      </c>
      <c r="F243" s="102">
        <f t="shared" si="8"/>
        <v>0.652892562</v>
      </c>
      <c r="G243" s="103">
        <f t="shared" si="2"/>
        <v>5.53</v>
      </c>
      <c r="H243" s="103">
        <f t="shared" si="3"/>
        <v>8.47</v>
      </c>
      <c r="I243" s="143">
        <v>7.0</v>
      </c>
      <c r="J243" s="104"/>
      <c r="K243" s="111"/>
      <c r="L243" s="106">
        <v>0.21</v>
      </c>
      <c r="M243" s="149">
        <v>0.0</v>
      </c>
      <c r="N243" s="108" t="s">
        <v>146</v>
      </c>
      <c r="O243" s="109"/>
      <c r="P243" s="110"/>
    </row>
    <row r="244">
      <c r="A244" s="97"/>
      <c r="B244" s="98"/>
      <c r="C244" s="142" t="s">
        <v>140</v>
      </c>
      <c r="D244" s="100">
        <v>4.0</v>
      </c>
      <c r="E244" s="101">
        <v>1.0</v>
      </c>
      <c r="F244" s="102">
        <f t="shared" si="8"/>
        <v>1.951593861</v>
      </c>
      <c r="G244" s="103">
        <f t="shared" si="2"/>
        <v>0.6612</v>
      </c>
      <c r="H244" s="103">
        <f t="shared" si="3"/>
        <v>0.3388</v>
      </c>
      <c r="I244" s="89">
        <f t="shared" ref="I244:I246" si="45">($I$243*D244)/$D$243</f>
        <v>0.28</v>
      </c>
      <c r="J244" s="104"/>
      <c r="K244" s="111"/>
      <c r="L244" s="106">
        <v>0.21</v>
      </c>
      <c r="M244" s="149">
        <v>0.0</v>
      </c>
      <c r="N244" s="108" t="s">
        <v>146</v>
      </c>
      <c r="O244" s="109"/>
      <c r="P244" s="110"/>
    </row>
    <row r="245">
      <c r="A245" s="97"/>
      <c r="B245" s="98"/>
      <c r="C245" s="142" t="s">
        <v>120</v>
      </c>
      <c r="D245" s="100">
        <v>8.0</v>
      </c>
      <c r="E245" s="101">
        <v>1.5</v>
      </c>
      <c r="F245" s="102">
        <f t="shared" si="8"/>
        <v>1.213695396</v>
      </c>
      <c r="G245" s="103">
        <f t="shared" si="2"/>
        <v>0.8224</v>
      </c>
      <c r="H245" s="103">
        <f t="shared" si="3"/>
        <v>0.6776</v>
      </c>
      <c r="I245" s="89">
        <f t="shared" si="45"/>
        <v>0.56</v>
      </c>
      <c r="J245" s="104"/>
      <c r="K245" s="111"/>
      <c r="L245" s="106">
        <v>0.21</v>
      </c>
      <c r="M245" s="149">
        <v>0.0</v>
      </c>
      <c r="N245" s="108" t="s">
        <v>146</v>
      </c>
      <c r="O245" s="109"/>
      <c r="P245" s="110"/>
    </row>
    <row r="246">
      <c r="A246" s="97"/>
      <c r="B246" s="98"/>
      <c r="C246" s="142" t="s">
        <v>141</v>
      </c>
      <c r="D246" s="100">
        <v>8.0</v>
      </c>
      <c r="E246" s="101">
        <v>2.5</v>
      </c>
      <c r="F246" s="102">
        <f t="shared" si="8"/>
        <v>2.689492326</v>
      </c>
      <c r="G246" s="103">
        <f t="shared" si="2"/>
        <v>1.8224</v>
      </c>
      <c r="H246" s="103">
        <f t="shared" si="3"/>
        <v>0.6776</v>
      </c>
      <c r="I246" s="89">
        <f t="shared" si="45"/>
        <v>0.56</v>
      </c>
      <c r="J246" s="104"/>
      <c r="K246" s="111"/>
      <c r="L246" s="106">
        <v>0.21</v>
      </c>
      <c r="M246" s="149">
        <v>0.0</v>
      </c>
      <c r="N246" s="108" t="s">
        <v>161</v>
      </c>
      <c r="O246" s="109"/>
      <c r="P246" s="110"/>
    </row>
    <row r="247">
      <c r="A247" s="97" t="s">
        <v>136</v>
      </c>
      <c r="B247" s="98" t="s">
        <v>190</v>
      </c>
      <c r="C247" s="99" t="s">
        <v>192</v>
      </c>
      <c r="D247" s="150">
        <v>100.0</v>
      </c>
      <c r="E247" s="101">
        <v>18.0</v>
      </c>
      <c r="F247" s="102">
        <f t="shared" si="8"/>
        <v>0.05130975674</v>
      </c>
      <c r="G247" s="103">
        <f t="shared" si="2"/>
        <v>0.8785</v>
      </c>
      <c r="H247" s="103">
        <f t="shared" si="3"/>
        <v>17.1215</v>
      </c>
      <c r="I247" s="143">
        <v>14.15</v>
      </c>
      <c r="J247" s="104"/>
      <c r="K247" s="111"/>
      <c r="L247" s="106">
        <v>0.21</v>
      </c>
      <c r="M247" s="149">
        <v>0.0</v>
      </c>
      <c r="N247" s="108" t="s">
        <v>161</v>
      </c>
      <c r="O247" s="109"/>
      <c r="P247" s="110"/>
    </row>
    <row r="248">
      <c r="A248" s="97"/>
      <c r="B248" s="98"/>
      <c r="C248" s="142" t="s">
        <v>140</v>
      </c>
      <c r="D248" s="100">
        <v>4.0</v>
      </c>
      <c r="E248" s="101">
        <v>1.0</v>
      </c>
      <c r="F248" s="102">
        <f t="shared" si="8"/>
        <v>0.4601524399</v>
      </c>
      <c r="G248" s="103">
        <f t="shared" si="2"/>
        <v>0.31514</v>
      </c>
      <c r="H248" s="103">
        <f t="shared" si="3"/>
        <v>0.68486</v>
      </c>
      <c r="I248" s="89">
        <f t="shared" ref="I248:I250" si="46">($I$247*D248)/$D$247</f>
        <v>0.566</v>
      </c>
      <c r="J248" s="104"/>
      <c r="K248" s="111"/>
      <c r="L248" s="106">
        <v>0.21</v>
      </c>
      <c r="M248" s="149">
        <v>0.0</v>
      </c>
      <c r="N248" s="108" t="s">
        <v>161</v>
      </c>
      <c r="O248" s="109"/>
      <c r="P248" s="110"/>
    </row>
    <row r="249">
      <c r="A249" s="97"/>
      <c r="B249" s="98"/>
      <c r="C249" s="142" t="s">
        <v>120</v>
      </c>
      <c r="D249" s="100">
        <v>8.0</v>
      </c>
      <c r="E249" s="101">
        <v>2.0</v>
      </c>
      <c r="F249" s="102">
        <f t="shared" si="8"/>
        <v>0.4601524399</v>
      </c>
      <c r="G249" s="103">
        <f t="shared" si="2"/>
        <v>0.63028</v>
      </c>
      <c r="H249" s="103">
        <f t="shared" si="3"/>
        <v>1.36972</v>
      </c>
      <c r="I249" s="89">
        <f t="shared" si="46"/>
        <v>1.132</v>
      </c>
      <c r="J249" s="104"/>
      <c r="K249" s="111"/>
      <c r="L249" s="106">
        <v>0.21</v>
      </c>
      <c r="M249" s="149">
        <v>0.0</v>
      </c>
      <c r="N249" s="108" t="s">
        <v>161</v>
      </c>
      <c r="O249" s="109"/>
      <c r="P249" s="110"/>
    </row>
    <row r="250">
      <c r="A250" s="97"/>
      <c r="B250" s="98"/>
      <c r="C250" s="142" t="s">
        <v>141</v>
      </c>
      <c r="D250" s="100">
        <v>8.0</v>
      </c>
      <c r="E250" s="101">
        <v>3.5</v>
      </c>
      <c r="F250" s="102">
        <f t="shared" si="8"/>
        <v>1.55526677</v>
      </c>
      <c r="G250" s="103">
        <f t="shared" si="2"/>
        <v>2.13028</v>
      </c>
      <c r="H250" s="103">
        <f t="shared" si="3"/>
        <v>1.36972</v>
      </c>
      <c r="I250" s="89">
        <f t="shared" si="46"/>
        <v>1.132</v>
      </c>
      <c r="J250" s="104"/>
      <c r="K250" s="111"/>
      <c r="L250" s="106">
        <v>0.21</v>
      </c>
      <c r="M250" s="149">
        <v>0.0</v>
      </c>
      <c r="N250" s="108" t="s">
        <v>161</v>
      </c>
      <c r="O250" s="109"/>
      <c r="P250" s="110"/>
    </row>
    <row r="251">
      <c r="A251" s="97" t="s">
        <v>136</v>
      </c>
      <c r="B251" s="98" t="s">
        <v>190</v>
      </c>
      <c r="C251" s="99" t="s">
        <v>193</v>
      </c>
      <c r="D251" s="150">
        <v>100.0</v>
      </c>
      <c r="E251" s="101">
        <v>18.0</v>
      </c>
      <c r="F251" s="102">
        <f t="shared" si="8"/>
        <v>0.007991129678</v>
      </c>
      <c r="G251" s="103">
        <f t="shared" si="2"/>
        <v>0.1427</v>
      </c>
      <c r="H251" s="103">
        <f t="shared" si="3"/>
        <v>17.8573</v>
      </c>
      <c r="I251" s="143">
        <v>14.15</v>
      </c>
      <c r="J251" s="104"/>
      <c r="K251" s="111">
        <v>15.45</v>
      </c>
      <c r="L251" s="106">
        <v>0.21</v>
      </c>
      <c r="M251" s="107">
        <v>0.052</v>
      </c>
      <c r="N251" s="108" t="s">
        <v>161</v>
      </c>
      <c r="O251" s="109"/>
      <c r="P251" s="110"/>
    </row>
    <row r="252">
      <c r="A252" s="97"/>
      <c r="B252" s="98"/>
      <c r="C252" s="142" t="s">
        <v>140</v>
      </c>
      <c r="D252" s="100">
        <v>4.0</v>
      </c>
      <c r="E252" s="101">
        <v>1.0</v>
      </c>
      <c r="F252" s="102">
        <f t="shared" si="8"/>
        <v>0.3999876801</v>
      </c>
      <c r="G252" s="103">
        <f t="shared" si="2"/>
        <v>0.285708</v>
      </c>
      <c r="H252" s="103">
        <f t="shared" si="3"/>
        <v>0.714292</v>
      </c>
      <c r="I252" s="89">
        <f t="shared" ref="I252:I254" si="47">($I$251*D252)/$D$251</f>
        <v>0.566</v>
      </c>
      <c r="J252" s="104"/>
      <c r="K252" s="111">
        <v>15.45</v>
      </c>
      <c r="L252" s="106">
        <v>0.21</v>
      </c>
      <c r="M252" s="107">
        <v>0.052</v>
      </c>
      <c r="N252" s="108" t="s">
        <v>161</v>
      </c>
      <c r="O252" s="109"/>
      <c r="P252" s="110"/>
    </row>
    <row r="253">
      <c r="A253" s="97"/>
      <c r="B253" s="98"/>
      <c r="C253" s="142" t="s">
        <v>120</v>
      </c>
      <c r="D253" s="100">
        <v>8.0</v>
      </c>
      <c r="E253" s="101">
        <v>2.0</v>
      </c>
      <c r="F253" s="102">
        <f t="shared" si="8"/>
        <v>0.3999876801</v>
      </c>
      <c r="G253" s="103">
        <f t="shared" si="2"/>
        <v>0.571416</v>
      </c>
      <c r="H253" s="103">
        <f t="shared" si="3"/>
        <v>1.428584</v>
      </c>
      <c r="I253" s="89">
        <f t="shared" si="47"/>
        <v>1.132</v>
      </c>
      <c r="J253" s="104"/>
      <c r="K253" s="111">
        <v>15.45</v>
      </c>
      <c r="L253" s="106">
        <v>0.21</v>
      </c>
      <c r="M253" s="107">
        <v>0.052</v>
      </c>
      <c r="N253" s="108" t="s">
        <v>161</v>
      </c>
      <c r="O253" s="109"/>
      <c r="P253" s="110"/>
    </row>
    <row r="254">
      <c r="A254" s="97"/>
      <c r="B254" s="98"/>
      <c r="C254" s="142" t="s">
        <v>141</v>
      </c>
      <c r="D254" s="100">
        <v>8.0</v>
      </c>
      <c r="E254" s="101">
        <v>3.5</v>
      </c>
      <c r="F254" s="102">
        <f t="shared" si="8"/>
        <v>1.44997844</v>
      </c>
      <c r="G254" s="103">
        <f t="shared" si="2"/>
        <v>2.071416</v>
      </c>
      <c r="H254" s="103">
        <f t="shared" si="3"/>
        <v>1.428584</v>
      </c>
      <c r="I254" s="89">
        <f t="shared" si="47"/>
        <v>1.132</v>
      </c>
      <c r="J254" s="104"/>
      <c r="K254" s="111">
        <v>15.45</v>
      </c>
      <c r="L254" s="106">
        <v>0.21</v>
      </c>
      <c r="M254" s="107">
        <v>0.052</v>
      </c>
      <c r="N254" s="108" t="s">
        <v>161</v>
      </c>
      <c r="O254" s="109"/>
      <c r="P254" s="110"/>
    </row>
    <row r="255" outlineLevel="1">
      <c r="A255" s="97" t="s">
        <v>136</v>
      </c>
      <c r="B255" s="98"/>
      <c r="C255" s="99" t="s">
        <v>193</v>
      </c>
      <c r="D255" s="150">
        <v>70.0</v>
      </c>
      <c r="E255" s="101">
        <v>14.0</v>
      </c>
      <c r="F255" s="102">
        <f t="shared" si="8"/>
        <v>0.1093502377</v>
      </c>
      <c r="G255" s="103">
        <f t="shared" si="2"/>
        <v>1.38</v>
      </c>
      <c r="H255" s="103">
        <f t="shared" si="3"/>
        <v>12.62</v>
      </c>
      <c r="I255" s="143">
        <v>10.0</v>
      </c>
      <c r="J255" s="104"/>
      <c r="K255" s="111">
        <v>11.5</v>
      </c>
      <c r="L255" s="106">
        <v>0.21</v>
      </c>
      <c r="M255" s="107">
        <v>0.052</v>
      </c>
      <c r="N255" s="108" t="s">
        <v>161</v>
      </c>
      <c r="O255" s="109"/>
      <c r="P255" s="110"/>
    </row>
    <row r="256" outlineLevel="1">
      <c r="A256" s="97"/>
      <c r="B256" s="98"/>
      <c r="C256" s="142" t="s">
        <v>140</v>
      </c>
      <c r="D256" s="100">
        <v>4.0</v>
      </c>
      <c r="E256" s="152">
        <f t="shared" ref="E256:E258" si="48">E252</f>
        <v>1</v>
      </c>
      <c r="F256" s="102">
        <f t="shared" si="8"/>
        <v>0.3866877971</v>
      </c>
      <c r="G256" s="103">
        <f t="shared" si="2"/>
        <v>0.2788571429</v>
      </c>
      <c r="H256" s="103">
        <f t="shared" si="3"/>
        <v>0.7211428571</v>
      </c>
      <c r="I256" s="89">
        <f t="shared" ref="I256:I258" si="49">($I$255*D256)/$D$255</f>
        <v>0.5714285714</v>
      </c>
      <c r="J256" s="104"/>
      <c r="K256" s="111">
        <v>11.5</v>
      </c>
      <c r="L256" s="106">
        <v>0.21</v>
      </c>
      <c r="M256" s="107">
        <v>0.052</v>
      </c>
      <c r="N256" s="108" t="s">
        <v>161</v>
      </c>
      <c r="O256" s="109"/>
      <c r="P256" s="110"/>
    </row>
    <row r="257" outlineLevel="1">
      <c r="A257" s="97"/>
      <c r="B257" s="98"/>
      <c r="C257" s="142" t="s">
        <v>120</v>
      </c>
      <c r="D257" s="100">
        <v>8.0</v>
      </c>
      <c r="E257" s="152">
        <f t="shared" si="48"/>
        <v>2</v>
      </c>
      <c r="F257" s="102">
        <f t="shared" si="8"/>
        <v>0.3866877971</v>
      </c>
      <c r="G257" s="103">
        <f t="shared" si="2"/>
        <v>0.5577142857</v>
      </c>
      <c r="H257" s="103">
        <f t="shared" si="3"/>
        <v>1.442285714</v>
      </c>
      <c r="I257" s="89">
        <f t="shared" si="49"/>
        <v>1.142857143</v>
      </c>
      <c r="J257" s="104"/>
      <c r="K257" s="111">
        <v>11.5</v>
      </c>
      <c r="L257" s="106">
        <v>0.21</v>
      </c>
      <c r="M257" s="107">
        <v>0.052</v>
      </c>
      <c r="N257" s="108" t="s">
        <v>161</v>
      </c>
      <c r="O257" s="109"/>
      <c r="P257" s="110"/>
    </row>
    <row r="258" outlineLevel="1">
      <c r="A258" s="97"/>
      <c r="B258" s="98"/>
      <c r="C258" s="142" t="s">
        <v>141</v>
      </c>
      <c r="D258" s="100">
        <v>8.0</v>
      </c>
      <c r="E258" s="152">
        <f t="shared" si="48"/>
        <v>3.5</v>
      </c>
      <c r="F258" s="102">
        <f t="shared" si="8"/>
        <v>1.426703645</v>
      </c>
      <c r="G258" s="103">
        <f t="shared" si="2"/>
        <v>2.057714286</v>
      </c>
      <c r="H258" s="103">
        <f t="shared" si="3"/>
        <v>1.442285714</v>
      </c>
      <c r="I258" s="89">
        <f t="shared" si="49"/>
        <v>1.142857143</v>
      </c>
      <c r="J258" s="104"/>
      <c r="K258" s="111">
        <v>11.5</v>
      </c>
      <c r="L258" s="106">
        <v>0.21</v>
      </c>
      <c r="M258" s="107">
        <v>0.052</v>
      </c>
      <c r="N258" s="108" t="s">
        <v>161</v>
      </c>
      <c r="O258" s="109"/>
      <c r="P258" s="110"/>
    </row>
    <row r="259">
      <c r="A259" s="97" t="s">
        <v>136</v>
      </c>
      <c r="B259" s="98" t="s">
        <v>190</v>
      </c>
      <c r="C259" s="99" t="s">
        <v>194</v>
      </c>
      <c r="D259" s="150">
        <v>70.0</v>
      </c>
      <c r="E259" s="101">
        <v>15.0</v>
      </c>
      <c r="F259" s="102">
        <f t="shared" si="8"/>
        <v>0.4285931976</v>
      </c>
      <c r="G259" s="103">
        <f t="shared" si="2"/>
        <v>4.50016</v>
      </c>
      <c r="H259" s="103">
        <f t="shared" si="3"/>
        <v>10.49984</v>
      </c>
      <c r="I259" s="143">
        <v>8.32</v>
      </c>
      <c r="J259" s="104"/>
      <c r="K259" s="111"/>
      <c r="L259" s="106">
        <v>0.21</v>
      </c>
      <c r="M259" s="107">
        <v>0.052</v>
      </c>
      <c r="N259" s="108" t="s">
        <v>161</v>
      </c>
      <c r="O259" s="109"/>
      <c r="P259" s="110"/>
    </row>
    <row r="260">
      <c r="A260" s="97"/>
      <c r="B260" s="98"/>
      <c r="C260" s="142" t="s">
        <v>140</v>
      </c>
      <c r="D260" s="100">
        <v>4.0</v>
      </c>
      <c r="E260" s="101">
        <v>1.0</v>
      </c>
      <c r="F260" s="102">
        <f t="shared" si="8"/>
        <v>0.7383184997</v>
      </c>
      <c r="G260" s="103">
        <f t="shared" si="2"/>
        <v>0.4247314286</v>
      </c>
      <c r="H260" s="103">
        <f t="shared" si="3"/>
        <v>0.5752685714</v>
      </c>
      <c r="I260" s="89">
        <f t="shared" ref="I260:I262" si="50">($I$259*D260)/$D$259</f>
        <v>0.4754285714</v>
      </c>
      <c r="J260" s="104"/>
      <c r="K260" s="111"/>
      <c r="L260" s="106">
        <v>0.21</v>
      </c>
      <c r="M260" s="149">
        <v>0.0</v>
      </c>
      <c r="N260" s="108" t="s">
        <v>161</v>
      </c>
      <c r="O260" s="109"/>
      <c r="P260" s="110"/>
    </row>
    <row r="261">
      <c r="A261" s="97"/>
      <c r="B261" s="98"/>
      <c r="C261" s="142" t="s">
        <v>120</v>
      </c>
      <c r="D261" s="100">
        <v>8.0</v>
      </c>
      <c r="E261" s="101">
        <v>1.5</v>
      </c>
      <c r="F261" s="102">
        <f t="shared" si="8"/>
        <v>0.3037388748</v>
      </c>
      <c r="G261" s="103">
        <f t="shared" si="2"/>
        <v>0.3494628571</v>
      </c>
      <c r="H261" s="103">
        <f t="shared" si="3"/>
        <v>1.150537143</v>
      </c>
      <c r="I261" s="89">
        <f t="shared" si="50"/>
        <v>0.9508571429</v>
      </c>
      <c r="J261" s="104"/>
      <c r="K261" s="111"/>
      <c r="L261" s="106">
        <v>0.21</v>
      </c>
      <c r="M261" s="149">
        <v>0.0</v>
      </c>
      <c r="N261" s="108" t="s">
        <v>161</v>
      </c>
      <c r="O261" s="109"/>
      <c r="P261" s="110"/>
    </row>
    <row r="262">
      <c r="A262" s="97"/>
      <c r="B262" s="98"/>
      <c r="C262" s="142" t="s">
        <v>141</v>
      </c>
      <c r="D262" s="100">
        <v>8.0</v>
      </c>
      <c r="E262" s="101">
        <v>3.0</v>
      </c>
      <c r="F262" s="102">
        <f t="shared" si="8"/>
        <v>1.60747775</v>
      </c>
      <c r="G262" s="103">
        <f t="shared" si="2"/>
        <v>1.849462857</v>
      </c>
      <c r="H262" s="103">
        <f t="shared" si="3"/>
        <v>1.150537143</v>
      </c>
      <c r="I262" s="89">
        <f t="shared" si="50"/>
        <v>0.9508571429</v>
      </c>
      <c r="J262" s="104"/>
      <c r="K262" s="111"/>
      <c r="L262" s="106">
        <v>0.21</v>
      </c>
      <c r="M262" s="149">
        <v>0.0</v>
      </c>
      <c r="N262" s="108" t="s">
        <v>161</v>
      </c>
      <c r="O262" s="109"/>
      <c r="P262" s="110"/>
    </row>
    <row r="263">
      <c r="A263" s="97" t="s">
        <v>136</v>
      </c>
      <c r="B263" s="98" t="s">
        <v>195</v>
      </c>
      <c r="C263" s="99" t="s">
        <v>196</v>
      </c>
      <c r="D263" s="150">
        <v>70.0</v>
      </c>
      <c r="E263" s="101">
        <v>12.0</v>
      </c>
      <c r="F263" s="102">
        <f t="shared" si="8"/>
        <v>0.652892562</v>
      </c>
      <c r="G263" s="103">
        <f t="shared" si="2"/>
        <v>4.74</v>
      </c>
      <c r="H263" s="103">
        <f t="shared" si="3"/>
        <v>7.26</v>
      </c>
      <c r="I263" s="143">
        <v>6.0</v>
      </c>
      <c r="J263" s="104"/>
      <c r="K263" s="111"/>
      <c r="L263" s="106">
        <v>0.21</v>
      </c>
      <c r="M263" s="149">
        <v>0.0</v>
      </c>
      <c r="N263" s="108" t="s">
        <v>161</v>
      </c>
      <c r="O263" s="109"/>
      <c r="P263" s="110"/>
    </row>
    <row r="264">
      <c r="A264" s="97"/>
      <c r="B264" s="98"/>
      <c r="C264" s="142" t="s">
        <v>140</v>
      </c>
      <c r="D264" s="100">
        <v>4.0</v>
      </c>
      <c r="E264" s="101">
        <v>1.0</v>
      </c>
      <c r="F264" s="102">
        <f t="shared" si="8"/>
        <v>1.41046832</v>
      </c>
      <c r="G264" s="103">
        <f t="shared" si="2"/>
        <v>0.5851428571</v>
      </c>
      <c r="H264" s="103">
        <f t="shared" si="3"/>
        <v>0.4148571429</v>
      </c>
      <c r="I264" s="89">
        <f t="shared" ref="I264:I266" si="51">($I$263*D264)/$D$263</f>
        <v>0.3428571429</v>
      </c>
      <c r="J264" s="104"/>
      <c r="K264" s="111"/>
      <c r="L264" s="106">
        <v>0.21</v>
      </c>
      <c r="M264" s="149">
        <v>0.0</v>
      </c>
      <c r="N264" s="108" t="s">
        <v>161</v>
      </c>
      <c r="O264" s="109"/>
      <c r="P264" s="110"/>
    </row>
    <row r="265">
      <c r="A265" s="97"/>
      <c r="B265" s="98"/>
      <c r="C265" s="142" t="s">
        <v>120</v>
      </c>
      <c r="D265" s="100">
        <v>8.0</v>
      </c>
      <c r="E265" s="101">
        <v>1.5</v>
      </c>
      <c r="F265" s="102">
        <f t="shared" si="8"/>
        <v>0.8078512397</v>
      </c>
      <c r="G265" s="103">
        <f t="shared" si="2"/>
        <v>0.6702857143</v>
      </c>
      <c r="H265" s="103">
        <f t="shared" si="3"/>
        <v>0.8297142857</v>
      </c>
      <c r="I265" s="89">
        <f t="shared" si="51"/>
        <v>0.6857142857</v>
      </c>
      <c r="J265" s="104"/>
      <c r="K265" s="111"/>
      <c r="L265" s="106">
        <v>0.21</v>
      </c>
      <c r="M265" s="149">
        <v>0.0</v>
      </c>
      <c r="N265" s="108" t="s">
        <v>161</v>
      </c>
      <c r="O265" s="109"/>
      <c r="P265" s="110"/>
    </row>
    <row r="266">
      <c r="A266" s="97"/>
      <c r="B266" s="98"/>
      <c r="C266" s="142" t="s">
        <v>141</v>
      </c>
      <c r="D266" s="100">
        <v>8.0</v>
      </c>
      <c r="E266" s="101">
        <v>3.0</v>
      </c>
      <c r="F266" s="102">
        <f t="shared" si="8"/>
        <v>2.615702479</v>
      </c>
      <c r="G266" s="103">
        <f t="shared" si="2"/>
        <v>2.170285714</v>
      </c>
      <c r="H266" s="103">
        <f t="shared" si="3"/>
        <v>0.8297142857</v>
      </c>
      <c r="I266" s="89">
        <f t="shared" si="51"/>
        <v>0.6857142857</v>
      </c>
      <c r="J266" s="104"/>
      <c r="K266" s="111"/>
      <c r="L266" s="106">
        <v>0.21</v>
      </c>
      <c r="M266" s="149">
        <v>0.0</v>
      </c>
      <c r="N266" s="108" t="s">
        <v>161</v>
      </c>
      <c r="O266" s="109"/>
      <c r="P266" s="110"/>
    </row>
    <row r="267">
      <c r="A267" s="97" t="s">
        <v>136</v>
      </c>
      <c r="B267" s="98" t="s">
        <v>197</v>
      </c>
      <c r="C267" s="99" t="s">
        <v>198</v>
      </c>
      <c r="D267" s="150">
        <v>100.0</v>
      </c>
      <c r="E267" s="101">
        <v>10.0</v>
      </c>
      <c r="F267" s="102">
        <f t="shared" si="8"/>
        <v>0.5026296018</v>
      </c>
      <c r="G267" s="103">
        <f t="shared" si="2"/>
        <v>3.345</v>
      </c>
      <c r="H267" s="103">
        <f t="shared" si="3"/>
        <v>6.655</v>
      </c>
      <c r="I267" s="143">
        <v>5.5</v>
      </c>
      <c r="J267" s="104"/>
      <c r="K267" s="111"/>
      <c r="L267" s="106">
        <v>0.21</v>
      </c>
      <c r="M267" s="149">
        <v>0.0</v>
      </c>
      <c r="N267" s="108" t="s">
        <v>161</v>
      </c>
      <c r="O267" s="109"/>
      <c r="P267" s="110"/>
    </row>
    <row r="268">
      <c r="A268" s="97"/>
      <c r="B268" s="98"/>
      <c r="C268" s="142" t="s">
        <v>141</v>
      </c>
      <c r="D268" s="100">
        <v>8.0</v>
      </c>
      <c r="E268" s="101">
        <v>2.0</v>
      </c>
      <c r="F268" s="102">
        <f t="shared" si="8"/>
        <v>2.756574005</v>
      </c>
      <c r="G268" s="103">
        <f t="shared" si="2"/>
        <v>1.4676</v>
      </c>
      <c r="H268" s="103">
        <f t="shared" si="3"/>
        <v>0.5324</v>
      </c>
      <c r="I268" s="89">
        <f>($I$267*D268)/$D$267</f>
        <v>0.44</v>
      </c>
      <c r="J268" s="104"/>
      <c r="K268" s="111"/>
      <c r="L268" s="106">
        <v>0.21</v>
      </c>
      <c r="M268" s="149">
        <v>0.0</v>
      </c>
      <c r="N268" s="108" t="s">
        <v>161</v>
      </c>
      <c r="O268" s="109"/>
      <c r="P268" s="110"/>
    </row>
    <row r="269">
      <c r="A269" s="97" t="s">
        <v>136</v>
      </c>
      <c r="B269" s="98" t="s">
        <v>197</v>
      </c>
      <c r="C269" s="99" t="s">
        <v>199</v>
      </c>
      <c r="D269" s="150">
        <v>100.0</v>
      </c>
      <c r="E269" s="101">
        <v>10.0</v>
      </c>
      <c r="F269" s="102">
        <f t="shared" si="8"/>
        <v>0.5026296018</v>
      </c>
      <c r="G269" s="103">
        <f t="shared" si="2"/>
        <v>3.345</v>
      </c>
      <c r="H269" s="103">
        <f t="shared" si="3"/>
        <v>6.655</v>
      </c>
      <c r="I269" s="143">
        <v>5.5</v>
      </c>
      <c r="J269" s="104"/>
      <c r="K269" s="111"/>
      <c r="L269" s="106">
        <v>0.21</v>
      </c>
      <c r="M269" s="149">
        <v>0.0</v>
      </c>
      <c r="N269" s="108" t="s">
        <v>161</v>
      </c>
      <c r="O269" s="109"/>
      <c r="P269" s="110"/>
    </row>
    <row r="270">
      <c r="A270" s="97"/>
      <c r="B270" s="98"/>
      <c r="C270" s="142" t="s">
        <v>141</v>
      </c>
      <c r="D270" s="100">
        <v>8.0</v>
      </c>
      <c r="E270" s="101">
        <v>2.0</v>
      </c>
      <c r="F270" s="102">
        <f t="shared" si="8"/>
        <v>2.756574005</v>
      </c>
      <c r="G270" s="103">
        <f t="shared" si="2"/>
        <v>1.4676</v>
      </c>
      <c r="H270" s="103">
        <f t="shared" si="3"/>
        <v>0.5324</v>
      </c>
      <c r="I270" s="89">
        <f>($I$269*D270)/$D$269</f>
        <v>0.44</v>
      </c>
      <c r="J270" s="104"/>
      <c r="K270" s="111"/>
      <c r="L270" s="106">
        <v>0.21</v>
      </c>
      <c r="M270" s="149">
        <v>0.0</v>
      </c>
      <c r="N270" s="108" t="s">
        <v>161</v>
      </c>
      <c r="O270" s="109"/>
      <c r="P270" s="110"/>
    </row>
    <row r="271">
      <c r="A271" s="97" t="s">
        <v>136</v>
      </c>
      <c r="B271" s="98" t="s">
        <v>197</v>
      </c>
      <c r="C271" s="99" t="s">
        <v>200</v>
      </c>
      <c r="D271" s="150">
        <v>100.0</v>
      </c>
      <c r="E271" s="101">
        <v>10.0</v>
      </c>
      <c r="F271" s="102">
        <f t="shared" si="8"/>
        <v>0.652892562</v>
      </c>
      <c r="G271" s="103">
        <f t="shared" si="2"/>
        <v>3.95</v>
      </c>
      <c r="H271" s="103">
        <f t="shared" si="3"/>
        <v>6.05</v>
      </c>
      <c r="I271" s="143">
        <v>5.0</v>
      </c>
      <c r="J271" s="104"/>
      <c r="K271" s="111"/>
      <c r="L271" s="106">
        <v>0.21</v>
      </c>
      <c r="M271" s="149">
        <v>0.0</v>
      </c>
      <c r="N271" s="108" t="s">
        <v>161</v>
      </c>
      <c r="O271" s="109"/>
      <c r="P271" s="110"/>
    </row>
    <row r="272">
      <c r="A272" s="97"/>
      <c r="B272" s="98"/>
      <c r="C272" s="142" t="s">
        <v>141</v>
      </c>
      <c r="D272" s="100">
        <v>8.0</v>
      </c>
      <c r="E272" s="101">
        <v>2.0</v>
      </c>
      <c r="F272" s="102">
        <f t="shared" si="8"/>
        <v>3.132231405</v>
      </c>
      <c r="G272" s="103">
        <f t="shared" si="2"/>
        <v>1.516</v>
      </c>
      <c r="H272" s="103">
        <f t="shared" si="3"/>
        <v>0.484</v>
      </c>
      <c r="I272" s="89">
        <f>($I$271*D272)/$D$271</f>
        <v>0.4</v>
      </c>
      <c r="J272" s="104"/>
      <c r="K272" s="111"/>
      <c r="L272" s="106">
        <v>0.21</v>
      </c>
      <c r="M272" s="149">
        <v>0.0</v>
      </c>
      <c r="N272" s="108" t="s">
        <v>161</v>
      </c>
      <c r="O272" s="109"/>
      <c r="P272" s="110"/>
    </row>
    <row r="273">
      <c r="A273" s="97" t="s">
        <v>136</v>
      </c>
      <c r="B273" s="98" t="s">
        <v>197</v>
      </c>
      <c r="C273" s="99" t="s">
        <v>201</v>
      </c>
      <c r="D273" s="150">
        <v>100.0</v>
      </c>
      <c r="E273" s="101">
        <v>10.0</v>
      </c>
      <c r="F273" s="102">
        <f t="shared" si="8"/>
        <v>0.291322314</v>
      </c>
      <c r="G273" s="103">
        <f t="shared" si="2"/>
        <v>2.256</v>
      </c>
      <c r="H273" s="103">
        <f t="shared" si="3"/>
        <v>7.744</v>
      </c>
      <c r="I273" s="143">
        <v>6.4</v>
      </c>
      <c r="J273" s="104"/>
      <c r="K273" s="111"/>
      <c r="L273" s="106">
        <v>0.21</v>
      </c>
      <c r="M273" s="149">
        <v>0.0</v>
      </c>
      <c r="N273" s="108" t="s">
        <v>161</v>
      </c>
      <c r="O273" s="109"/>
      <c r="P273" s="110"/>
    </row>
    <row r="274">
      <c r="A274" s="97"/>
      <c r="B274" s="98"/>
      <c r="C274" s="142" t="s">
        <v>141</v>
      </c>
      <c r="D274" s="100">
        <v>8.0</v>
      </c>
      <c r="E274" s="101">
        <v>2.0</v>
      </c>
      <c r="F274" s="102">
        <f t="shared" si="8"/>
        <v>2.228305785</v>
      </c>
      <c r="G274" s="103">
        <f t="shared" si="2"/>
        <v>1.38048</v>
      </c>
      <c r="H274" s="103">
        <f t="shared" si="3"/>
        <v>0.61952</v>
      </c>
      <c r="I274" s="89">
        <f>($I$273*D274)/$D$273</f>
        <v>0.512</v>
      </c>
      <c r="J274" s="104"/>
      <c r="K274" s="111"/>
      <c r="L274" s="106">
        <v>0.21</v>
      </c>
      <c r="M274" s="149">
        <v>0.0</v>
      </c>
      <c r="N274" s="108" t="s">
        <v>161</v>
      </c>
      <c r="O274" s="109"/>
      <c r="P274" s="110"/>
    </row>
    <row r="275">
      <c r="A275" s="97" t="s">
        <v>136</v>
      </c>
      <c r="B275" s="98" t="s">
        <v>197</v>
      </c>
      <c r="C275" s="99" t="s">
        <v>202</v>
      </c>
      <c r="D275" s="150">
        <v>100.0</v>
      </c>
      <c r="E275" s="101">
        <v>10.0</v>
      </c>
      <c r="F275" s="102">
        <f t="shared" si="8"/>
        <v>0.291322314</v>
      </c>
      <c r="G275" s="103">
        <f t="shared" si="2"/>
        <v>2.256</v>
      </c>
      <c r="H275" s="103">
        <f t="shared" si="3"/>
        <v>7.744</v>
      </c>
      <c r="I275" s="143">
        <v>6.4</v>
      </c>
      <c r="J275" s="104"/>
      <c r="K275" s="111"/>
      <c r="L275" s="106">
        <v>0.21</v>
      </c>
      <c r="M275" s="149">
        <v>0.0</v>
      </c>
      <c r="N275" s="108" t="s">
        <v>161</v>
      </c>
      <c r="O275" s="109"/>
      <c r="P275" s="110"/>
    </row>
    <row r="276">
      <c r="A276" s="97"/>
      <c r="B276" s="98"/>
      <c r="C276" s="142" t="s">
        <v>141</v>
      </c>
      <c r="D276" s="100">
        <v>8.0</v>
      </c>
      <c r="E276" s="101">
        <v>2.0</v>
      </c>
      <c r="F276" s="102">
        <f t="shared" si="8"/>
        <v>2.228305785</v>
      </c>
      <c r="G276" s="103">
        <f t="shared" si="2"/>
        <v>1.38048</v>
      </c>
      <c r="H276" s="103">
        <f t="shared" si="3"/>
        <v>0.61952</v>
      </c>
      <c r="I276" s="89">
        <f>($I$275*D276)/$D$275</f>
        <v>0.512</v>
      </c>
      <c r="J276" s="104"/>
      <c r="K276" s="111"/>
      <c r="L276" s="106">
        <v>0.21</v>
      </c>
      <c r="M276" s="149">
        <v>0.0</v>
      </c>
      <c r="N276" s="108" t="s">
        <v>161</v>
      </c>
      <c r="O276" s="109"/>
      <c r="P276" s="110"/>
    </row>
    <row r="277">
      <c r="A277" s="97" t="s">
        <v>136</v>
      </c>
      <c r="B277" s="98" t="s">
        <v>203</v>
      </c>
      <c r="C277" s="99" t="s">
        <v>204</v>
      </c>
      <c r="D277" s="150">
        <v>70.0</v>
      </c>
      <c r="E277" s="101">
        <v>18.0</v>
      </c>
      <c r="F277" s="102">
        <f t="shared" si="8"/>
        <v>0.652892562</v>
      </c>
      <c r="G277" s="103">
        <f t="shared" si="2"/>
        <v>7.11</v>
      </c>
      <c r="H277" s="103">
        <f t="shared" si="3"/>
        <v>10.89</v>
      </c>
      <c r="I277" s="143">
        <v>9.0</v>
      </c>
      <c r="J277" s="104"/>
      <c r="K277" s="111"/>
      <c r="L277" s="106">
        <v>0.21</v>
      </c>
      <c r="M277" s="149">
        <v>0.0</v>
      </c>
      <c r="N277" s="108" t="s">
        <v>161</v>
      </c>
      <c r="O277" s="109"/>
      <c r="P277" s="110"/>
    </row>
    <row r="278">
      <c r="A278" s="97"/>
      <c r="B278" s="98"/>
      <c r="C278" s="142" t="s">
        <v>140</v>
      </c>
      <c r="D278" s="100">
        <v>4.0</v>
      </c>
      <c r="E278" s="101">
        <v>1.0</v>
      </c>
      <c r="F278" s="102">
        <f t="shared" si="8"/>
        <v>0.6069788797</v>
      </c>
      <c r="G278" s="103">
        <f t="shared" si="2"/>
        <v>0.3777142857</v>
      </c>
      <c r="H278" s="103">
        <f t="shared" si="3"/>
        <v>0.6222857143</v>
      </c>
      <c r="I278" s="89">
        <f t="shared" ref="I278:I280" si="52">($I$277*D278)/$D$277</f>
        <v>0.5142857143</v>
      </c>
      <c r="J278" s="104"/>
      <c r="K278" s="111"/>
      <c r="L278" s="106">
        <v>0.21</v>
      </c>
      <c r="M278" s="149">
        <v>0.0</v>
      </c>
      <c r="N278" s="108" t="s">
        <v>161</v>
      </c>
      <c r="O278" s="109"/>
      <c r="P278" s="110"/>
    </row>
    <row r="279">
      <c r="A279" s="97"/>
      <c r="B279" s="98"/>
      <c r="C279" s="142" t="s">
        <v>120</v>
      </c>
      <c r="D279" s="100">
        <v>8.0</v>
      </c>
      <c r="E279" s="101">
        <v>2.0</v>
      </c>
      <c r="F279" s="102">
        <f t="shared" si="8"/>
        <v>0.6069788797</v>
      </c>
      <c r="G279" s="103">
        <f t="shared" si="2"/>
        <v>0.7554285714</v>
      </c>
      <c r="H279" s="103">
        <f t="shared" si="3"/>
        <v>1.244571429</v>
      </c>
      <c r="I279" s="89">
        <f t="shared" si="52"/>
        <v>1.028571429</v>
      </c>
      <c r="J279" s="104"/>
      <c r="K279" s="111"/>
      <c r="L279" s="106">
        <v>0.21</v>
      </c>
      <c r="M279" s="149">
        <v>0.0</v>
      </c>
      <c r="N279" s="108" t="s">
        <v>161</v>
      </c>
      <c r="O279" s="109"/>
      <c r="P279" s="110"/>
    </row>
    <row r="280">
      <c r="A280" s="97"/>
      <c r="B280" s="98"/>
      <c r="C280" s="142" t="s">
        <v>141</v>
      </c>
      <c r="D280" s="100">
        <v>8.0</v>
      </c>
      <c r="E280" s="101">
        <v>3.0</v>
      </c>
      <c r="F280" s="102">
        <f t="shared" si="8"/>
        <v>1.41046832</v>
      </c>
      <c r="G280" s="103">
        <f t="shared" si="2"/>
        <v>1.755428571</v>
      </c>
      <c r="H280" s="103">
        <f t="shared" si="3"/>
        <v>1.244571429</v>
      </c>
      <c r="I280" s="89">
        <f t="shared" si="52"/>
        <v>1.028571429</v>
      </c>
      <c r="J280" s="104"/>
      <c r="K280" s="111"/>
      <c r="L280" s="106">
        <v>0.21</v>
      </c>
      <c r="M280" s="149">
        <v>0.0</v>
      </c>
      <c r="N280" s="108" t="s">
        <v>161</v>
      </c>
      <c r="O280" s="109"/>
      <c r="P280" s="110"/>
    </row>
    <row r="281">
      <c r="A281" s="97" t="s">
        <v>136</v>
      </c>
      <c r="B281" s="98" t="s">
        <v>203</v>
      </c>
      <c r="C281" s="99" t="s">
        <v>205</v>
      </c>
      <c r="D281" s="150">
        <v>70.0</v>
      </c>
      <c r="E281" s="101">
        <v>12.0</v>
      </c>
      <c r="F281" s="102">
        <f t="shared" si="8"/>
        <v>0.4167650531</v>
      </c>
      <c r="G281" s="103">
        <f t="shared" si="2"/>
        <v>3.53</v>
      </c>
      <c r="H281" s="103">
        <f t="shared" si="3"/>
        <v>8.47</v>
      </c>
      <c r="I281" s="143">
        <v>7.0</v>
      </c>
      <c r="J281" s="104"/>
      <c r="K281" s="111"/>
      <c r="L281" s="106">
        <v>0.21</v>
      </c>
      <c r="M281" s="149">
        <v>0.0</v>
      </c>
      <c r="N281" s="108" t="s">
        <v>161</v>
      </c>
      <c r="O281" s="109"/>
      <c r="P281" s="110"/>
    </row>
    <row r="282">
      <c r="A282" s="97"/>
      <c r="B282" s="98"/>
      <c r="C282" s="142" t="s">
        <v>140</v>
      </c>
      <c r="D282" s="100">
        <v>4.0</v>
      </c>
      <c r="E282" s="101">
        <v>1.0</v>
      </c>
      <c r="F282" s="102">
        <f t="shared" si="8"/>
        <v>1.066115702</v>
      </c>
      <c r="G282" s="103">
        <f t="shared" si="2"/>
        <v>0.516</v>
      </c>
      <c r="H282" s="103">
        <f t="shared" si="3"/>
        <v>0.484</v>
      </c>
      <c r="I282" s="89">
        <f t="shared" ref="I282:I284" si="53">($I$281*D282)/$D$281</f>
        <v>0.4</v>
      </c>
      <c r="J282" s="104"/>
      <c r="K282" s="111"/>
      <c r="L282" s="106">
        <v>0.21</v>
      </c>
      <c r="M282" s="149">
        <v>0.0</v>
      </c>
      <c r="N282" s="108" t="s">
        <v>161</v>
      </c>
      <c r="O282" s="109"/>
      <c r="P282" s="110"/>
    </row>
    <row r="283">
      <c r="A283" s="97"/>
      <c r="B283" s="98"/>
      <c r="C283" s="142" t="s">
        <v>120</v>
      </c>
      <c r="D283" s="100">
        <v>8.0</v>
      </c>
      <c r="E283" s="101">
        <v>1.5</v>
      </c>
      <c r="F283" s="102">
        <f t="shared" si="8"/>
        <v>0.5495867769</v>
      </c>
      <c r="G283" s="103">
        <f t="shared" si="2"/>
        <v>0.532</v>
      </c>
      <c r="H283" s="103">
        <f t="shared" si="3"/>
        <v>0.968</v>
      </c>
      <c r="I283" s="89">
        <f t="shared" si="53"/>
        <v>0.8</v>
      </c>
      <c r="J283" s="104"/>
      <c r="K283" s="111"/>
      <c r="L283" s="106">
        <v>0.21</v>
      </c>
      <c r="M283" s="149">
        <v>0.0</v>
      </c>
      <c r="N283" s="108" t="s">
        <v>161</v>
      </c>
      <c r="O283" s="109"/>
      <c r="P283" s="110"/>
    </row>
    <row r="284">
      <c r="A284" s="97"/>
      <c r="B284" s="98"/>
      <c r="C284" s="142" t="s">
        <v>141</v>
      </c>
      <c r="D284" s="100">
        <v>8.0</v>
      </c>
      <c r="E284" s="101">
        <v>2.5</v>
      </c>
      <c r="F284" s="102">
        <f t="shared" si="8"/>
        <v>1.582644628</v>
      </c>
      <c r="G284" s="103">
        <f t="shared" si="2"/>
        <v>1.532</v>
      </c>
      <c r="H284" s="103">
        <f t="shared" si="3"/>
        <v>0.968</v>
      </c>
      <c r="I284" s="89">
        <f t="shared" si="53"/>
        <v>0.8</v>
      </c>
      <c r="J284" s="104"/>
      <c r="K284" s="111"/>
      <c r="L284" s="106">
        <v>0.21</v>
      </c>
      <c r="M284" s="149">
        <v>0.0</v>
      </c>
      <c r="N284" s="108" t="s">
        <v>161</v>
      </c>
      <c r="O284" s="109"/>
      <c r="P284" s="110"/>
    </row>
    <row r="285">
      <c r="A285" s="97" t="s">
        <v>136</v>
      </c>
      <c r="B285" s="98" t="s">
        <v>206</v>
      </c>
      <c r="C285" s="99" t="s">
        <v>207</v>
      </c>
      <c r="D285" s="150">
        <v>70.0</v>
      </c>
      <c r="E285" s="101">
        <v>18.0</v>
      </c>
      <c r="F285" s="102">
        <f t="shared" si="8"/>
        <v>0.652892562</v>
      </c>
      <c r="G285" s="103">
        <f t="shared" si="2"/>
        <v>7.11</v>
      </c>
      <c r="H285" s="103">
        <f t="shared" si="3"/>
        <v>10.89</v>
      </c>
      <c r="I285" s="143">
        <v>9.0</v>
      </c>
      <c r="J285" s="104"/>
      <c r="K285" s="111"/>
      <c r="L285" s="106">
        <v>0.21</v>
      </c>
      <c r="M285" s="149">
        <v>0.0</v>
      </c>
      <c r="N285" s="108" t="s">
        <v>161</v>
      </c>
      <c r="O285" s="109"/>
      <c r="P285" s="110"/>
    </row>
    <row r="286">
      <c r="A286" s="97"/>
      <c r="B286" s="98"/>
      <c r="C286" s="142" t="s">
        <v>140</v>
      </c>
      <c r="D286" s="100">
        <v>4.0</v>
      </c>
      <c r="E286" s="101">
        <v>1.0</v>
      </c>
      <c r="F286" s="102">
        <f t="shared" si="8"/>
        <v>0.6069788797</v>
      </c>
      <c r="G286" s="103">
        <f t="shared" si="2"/>
        <v>0.3777142857</v>
      </c>
      <c r="H286" s="103">
        <f t="shared" si="3"/>
        <v>0.6222857143</v>
      </c>
      <c r="I286" s="89">
        <f t="shared" ref="I286:I288" si="54">($I$285*D286)/$D$285</f>
        <v>0.5142857143</v>
      </c>
      <c r="J286" s="104"/>
      <c r="K286" s="111"/>
      <c r="L286" s="106">
        <v>0.21</v>
      </c>
      <c r="M286" s="149">
        <v>0.0</v>
      </c>
      <c r="N286" s="108" t="s">
        <v>146</v>
      </c>
      <c r="O286" s="109"/>
      <c r="P286" s="110"/>
    </row>
    <row r="287">
      <c r="A287" s="97"/>
      <c r="B287" s="98"/>
      <c r="C287" s="142" t="s">
        <v>120</v>
      </c>
      <c r="D287" s="100">
        <v>8.0</v>
      </c>
      <c r="E287" s="101">
        <v>2.0</v>
      </c>
      <c r="F287" s="102">
        <f t="shared" si="8"/>
        <v>0.6069788797</v>
      </c>
      <c r="G287" s="103">
        <f t="shared" si="2"/>
        <v>0.7554285714</v>
      </c>
      <c r="H287" s="103">
        <f t="shared" si="3"/>
        <v>1.244571429</v>
      </c>
      <c r="I287" s="89">
        <f t="shared" si="54"/>
        <v>1.028571429</v>
      </c>
      <c r="J287" s="104"/>
      <c r="K287" s="111"/>
      <c r="L287" s="106">
        <v>0.21</v>
      </c>
      <c r="M287" s="149">
        <v>0.0</v>
      </c>
      <c r="N287" s="108" t="s">
        <v>146</v>
      </c>
      <c r="O287" s="109"/>
      <c r="P287" s="110"/>
    </row>
    <row r="288">
      <c r="A288" s="97"/>
      <c r="B288" s="98"/>
      <c r="C288" s="142" t="s">
        <v>141</v>
      </c>
      <c r="D288" s="100">
        <v>8.0</v>
      </c>
      <c r="E288" s="101">
        <v>3.0</v>
      </c>
      <c r="F288" s="102">
        <f t="shared" si="8"/>
        <v>1.41046832</v>
      </c>
      <c r="G288" s="103">
        <f t="shared" si="2"/>
        <v>1.755428571</v>
      </c>
      <c r="H288" s="103">
        <f t="shared" si="3"/>
        <v>1.244571429</v>
      </c>
      <c r="I288" s="89">
        <f t="shared" si="54"/>
        <v>1.028571429</v>
      </c>
      <c r="J288" s="104"/>
      <c r="K288" s="111"/>
      <c r="L288" s="106">
        <v>0.21</v>
      </c>
      <c r="M288" s="149">
        <v>0.0</v>
      </c>
      <c r="N288" s="108" t="s">
        <v>146</v>
      </c>
      <c r="O288" s="109"/>
      <c r="P288" s="110"/>
    </row>
    <row r="289">
      <c r="A289" s="97" t="s">
        <v>136</v>
      </c>
      <c r="B289" s="98" t="s">
        <v>206</v>
      </c>
      <c r="C289" s="99" t="s">
        <v>208</v>
      </c>
      <c r="D289" s="150">
        <v>70.0</v>
      </c>
      <c r="E289" s="101">
        <v>18.0</v>
      </c>
      <c r="F289" s="102">
        <f t="shared" si="8"/>
        <v>0.4876033058</v>
      </c>
      <c r="G289" s="103">
        <f t="shared" si="2"/>
        <v>5.9</v>
      </c>
      <c r="H289" s="103">
        <f t="shared" si="3"/>
        <v>12.1</v>
      </c>
      <c r="I289" s="143">
        <v>10.0</v>
      </c>
      <c r="J289" s="104"/>
      <c r="K289" s="111"/>
      <c r="L289" s="106">
        <v>0.21</v>
      </c>
      <c r="M289" s="149">
        <v>0.0</v>
      </c>
      <c r="N289" s="108" t="s">
        <v>146</v>
      </c>
      <c r="O289" s="109"/>
      <c r="P289" s="110"/>
    </row>
    <row r="290">
      <c r="A290" s="97"/>
      <c r="B290" s="98"/>
      <c r="C290" s="142" t="s">
        <v>140</v>
      </c>
      <c r="D290" s="100">
        <v>4.0</v>
      </c>
      <c r="E290" s="101">
        <v>1.0</v>
      </c>
      <c r="F290" s="102">
        <f t="shared" si="8"/>
        <v>0.4462809917</v>
      </c>
      <c r="G290" s="103">
        <f t="shared" si="2"/>
        <v>0.3085714286</v>
      </c>
      <c r="H290" s="103">
        <f t="shared" si="3"/>
        <v>0.6914285714</v>
      </c>
      <c r="I290" s="89">
        <f t="shared" ref="I290:I292" si="55">($I$289*D290)/$D$289</f>
        <v>0.5714285714</v>
      </c>
      <c r="J290" s="104"/>
      <c r="K290" s="111"/>
      <c r="L290" s="106">
        <v>0.21</v>
      </c>
      <c r="M290" s="149">
        <v>0.0</v>
      </c>
      <c r="N290" s="108" t="s">
        <v>146</v>
      </c>
      <c r="O290" s="109"/>
      <c r="P290" s="110"/>
    </row>
    <row r="291">
      <c r="A291" s="97"/>
      <c r="B291" s="98"/>
      <c r="C291" s="142" t="s">
        <v>120</v>
      </c>
      <c r="D291" s="100">
        <v>8.0</v>
      </c>
      <c r="E291" s="101">
        <v>2.0</v>
      </c>
      <c r="F291" s="102">
        <f t="shared" si="8"/>
        <v>0.4462809917</v>
      </c>
      <c r="G291" s="103">
        <f t="shared" si="2"/>
        <v>0.6171428571</v>
      </c>
      <c r="H291" s="103">
        <f t="shared" si="3"/>
        <v>1.382857143</v>
      </c>
      <c r="I291" s="89">
        <f t="shared" si="55"/>
        <v>1.142857143</v>
      </c>
      <c r="J291" s="104"/>
      <c r="K291" s="111"/>
      <c r="L291" s="106">
        <v>0.21</v>
      </c>
      <c r="M291" s="149">
        <v>0.0</v>
      </c>
      <c r="N291" s="108" t="s">
        <v>146</v>
      </c>
      <c r="O291" s="109"/>
      <c r="P291" s="110"/>
    </row>
    <row r="292">
      <c r="A292" s="97"/>
      <c r="B292" s="98"/>
      <c r="C292" s="142" t="s">
        <v>141</v>
      </c>
      <c r="D292" s="100">
        <v>8.0</v>
      </c>
      <c r="E292" s="101">
        <v>3.5</v>
      </c>
      <c r="F292" s="102">
        <f t="shared" si="8"/>
        <v>1.530991736</v>
      </c>
      <c r="G292" s="103">
        <f t="shared" si="2"/>
        <v>2.117142857</v>
      </c>
      <c r="H292" s="103">
        <f t="shared" si="3"/>
        <v>1.382857143</v>
      </c>
      <c r="I292" s="89">
        <f t="shared" si="55"/>
        <v>1.142857143</v>
      </c>
      <c r="J292" s="104"/>
      <c r="K292" s="111"/>
      <c r="L292" s="106">
        <v>0.21</v>
      </c>
      <c r="M292" s="149">
        <v>0.0</v>
      </c>
      <c r="N292" s="108" t="s">
        <v>146</v>
      </c>
      <c r="O292" s="109"/>
      <c r="P292" s="110"/>
    </row>
    <row r="293">
      <c r="A293" s="97" t="s">
        <v>136</v>
      </c>
      <c r="B293" s="98" t="s">
        <v>209</v>
      </c>
      <c r="C293" s="99" t="s">
        <v>210</v>
      </c>
      <c r="D293" s="150">
        <v>70.0</v>
      </c>
      <c r="E293" s="101">
        <v>18.0</v>
      </c>
      <c r="F293" s="102">
        <f t="shared" si="8"/>
        <v>0.652892562</v>
      </c>
      <c r="G293" s="103">
        <f t="shared" si="2"/>
        <v>7.11</v>
      </c>
      <c r="H293" s="103">
        <f t="shared" si="3"/>
        <v>10.89</v>
      </c>
      <c r="I293" s="143">
        <v>9.0</v>
      </c>
      <c r="J293" s="104"/>
      <c r="K293" s="111">
        <v>14.97</v>
      </c>
      <c r="L293" s="106">
        <v>0.21</v>
      </c>
      <c r="M293" s="149">
        <v>0.0</v>
      </c>
      <c r="N293" s="108" t="s">
        <v>146</v>
      </c>
      <c r="O293" s="109"/>
      <c r="P293" s="110"/>
    </row>
    <row r="294">
      <c r="A294" s="97"/>
      <c r="B294" s="98"/>
      <c r="C294" s="142" t="s">
        <v>140</v>
      </c>
      <c r="D294" s="100">
        <v>4.0</v>
      </c>
      <c r="E294" s="101">
        <v>1.0</v>
      </c>
      <c r="F294" s="102">
        <f t="shared" si="8"/>
        <v>0.6069788797</v>
      </c>
      <c r="G294" s="103">
        <f t="shared" si="2"/>
        <v>0.3777142857</v>
      </c>
      <c r="H294" s="103">
        <f t="shared" si="3"/>
        <v>0.6222857143</v>
      </c>
      <c r="I294" s="89">
        <f t="shared" ref="I294:I296" si="56">($I$293*D294)/$D$293</f>
        <v>0.5142857143</v>
      </c>
      <c r="J294" s="104"/>
      <c r="K294" s="111">
        <v>14.97</v>
      </c>
      <c r="L294" s="106">
        <v>0.21</v>
      </c>
      <c r="M294" s="149">
        <v>0.0</v>
      </c>
      <c r="N294" s="108" t="s">
        <v>146</v>
      </c>
      <c r="O294" s="109"/>
      <c r="P294" s="110"/>
    </row>
    <row r="295">
      <c r="A295" s="97"/>
      <c r="B295" s="98"/>
      <c r="C295" s="142" t="s">
        <v>120</v>
      </c>
      <c r="D295" s="100">
        <v>8.0</v>
      </c>
      <c r="E295" s="101">
        <v>2.0</v>
      </c>
      <c r="F295" s="102">
        <f t="shared" si="8"/>
        <v>0.6069788797</v>
      </c>
      <c r="G295" s="103">
        <f t="shared" si="2"/>
        <v>0.7554285714</v>
      </c>
      <c r="H295" s="103">
        <f t="shared" si="3"/>
        <v>1.244571429</v>
      </c>
      <c r="I295" s="89">
        <f t="shared" si="56"/>
        <v>1.028571429</v>
      </c>
      <c r="J295" s="104"/>
      <c r="K295" s="111">
        <v>14.97</v>
      </c>
      <c r="L295" s="106">
        <v>0.21</v>
      </c>
      <c r="M295" s="149">
        <v>0.0</v>
      </c>
      <c r="N295" s="108" t="s">
        <v>146</v>
      </c>
      <c r="O295" s="109"/>
      <c r="P295" s="110"/>
    </row>
    <row r="296">
      <c r="A296" s="97"/>
      <c r="B296" s="98"/>
      <c r="C296" s="142" t="s">
        <v>141</v>
      </c>
      <c r="D296" s="100">
        <v>8.0</v>
      </c>
      <c r="E296" s="101">
        <v>3.0</v>
      </c>
      <c r="F296" s="102">
        <f t="shared" si="8"/>
        <v>1.41046832</v>
      </c>
      <c r="G296" s="103">
        <f t="shared" si="2"/>
        <v>1.755428571</v>
      </c>
      <c r="H296" s="103">
        <f t="shared" si="3"/>
        <v>1.244571429</v>
      </c>
      <c r="I296" s="89">
        <f t="shared" si="56"/>
        <v>1.028571429</v>
      </c>
      <c r="J296" s="104"/>
      <c r="K296" s="111">
        <v>14.97</v>
      </c>
      <c r="L296" s="106">
        <v>0.21</v>
      </c>
      <c r="M296" s="149">
        <v>0.0</v>
      </c>
      <c r="N296" s="108" t="s">
        <v>146</v>
      </c>
      <c r="O296" s="109"/>
      <c r="P296" s="110"/>
    </row>
    <row r="297">
      <c r="A297" s="97" t="s">
        <v>136</v>
      </c>
      <c r="B297" s="98" t="s">
        <v>206</v>
      </c>
      <c r="C297" s="99" t="s">
        <v>211</v>
      </c>
      <c r="D297" s="150">
        <v>70.0</v>
      </c>
      <c r="E297" s="101">
        <v>35.0</v>
      </c>
      <c r="F297" s="102">
        <f t="shared" si="8"/>
        <v>0.1125238398</v>
      </c>
      <c r="G297" s="103">
        <f t="shared" si="2"/>
        <v>3.54</v>
      </c>
      <c r="H297" s="103">
        <f t="shared" si="3"/>
        <v>31.46</v>
      </c>
      <c r="I297" s="143">
        <v>26.0</v>
      </c>
      <c r="J297" s="104"/>
      <c r="K297" s="111"/>
      <c r="L297" s="106">
        <v>0.21</v>
      </c>
      <c r="M297" s="149">
        <v>0.0</v>
      </c>
      <c r="N297" s="108" t="s">
        <v>146</v>
      </c>
      <c r="O297" s="109"/>
      <c r="P297" s="110"/>
    </row>
    <row r="298">
      <c r="A298" s="97"/>
      <c r="B298" s="98"/>
      <c r="C298" s="142" t="s">
        <v>140</v>
      </c>
      <c r="D298" s="100">
        <v>4.0</v>
      </c>
      <c r="E298" s="101">
        <v>2.5</v>
      </c>
      <c r="F298" s="102">
        <f t="shared" si="8"/>
        <v>0.3906547997</v>
      </c>
      <c r="G298" s="103">
        <f t="shared" si="2"/>
        <v>0.7022857143</v>
      </c>
      <c r="H298" s="103">
        <f t="shared" si="3"/>
        <v>1.797714286</v>
      </c>
      <c r="I298" s="89">
        <f t="shared" ref="I298:I300" si="57">($I$297*D298)/$D$297</f>
        <v>1.485714286</v>
      </c>
      <c r="J298" s="104"/>
      <c r="K298" s="111"/>
      <c r="L298" s="106">
        <v>0.21</v>
      </c>
      <c r="M298" s="149">
        <v>0.0</v>
      </c>
      <c r="N298" s="108" t="s">
        <v>146</v>
      </c>
      <c r="O298" s="109"/>
      <c r="P298" s="110"/>
    </row>
    <row r="299">
      <c r="A299" s="97"/>
      <c r="B299" s="98"/>
      <c r="C299" s="142" t="s">
        <v>120</v>
      </c>
      <c r="D299" s="100">
        <v>8.0</v>
      </c>
      <c r="E299" s="101">
        <v>5.0</v>
      </c>
      <c r="F299" s="102">
        <f t="shared" si="8"/>
        <v>0.3906547997</v>
      </c>
      <c r="G299" s="103">
        <f t="shared" si="2"/>
        <v>1.404571429</v>
      </c>
      <c r="H299" s="103">
        <f t="shared" si="3"/>
        <v>3.595428571</v>
      </c>
      <c r="I299" s="89">
        <f t="shared" si="57"/>
        <v>2.971428571</v>
      </c>
      <c r="J299" s="104"/>
      <c r="K299" s="111"/>
      <c r="L299" s="106">
        <v>0.21</v>
      </c>
      <c r="M299" s="149">
        <v>0.0</v>
      </c>
      <c r="N299" s="108" t="s">
        <v>146</v>
      </c>
      <c r="O299" s="109"/>
      <c r="P299" s="110"/>
    </row>
    <row r="300">
      <c r="A300" s="97"/>
      <c r="B300" s="98"/>
      <c r="C300" s="142" t="s">
        <v>141</v>
      </c>
      <c r="D300" s="100">
        <v>8.0</v>
      </c>
      <c r="E300" s="101">
        <v>8.5</v>
      </c>
      <c r="F300" s="102">
        <f t="shared" si="8"/>
        <v>1.36411316</v>
      </c>
      <c r="G300" s="103">
        <f t="shared" si="2"/>
        <v>4.904571429</v>
      </c>
      <c r="H300" s="103">
        <f t="shared" si="3"/>
        <v>3.595428571</v>
      </c>
      <c r="I300" s="89">
        <f t="shared" si="57"/>
        <v>2.971428571</v>
      </c>
      <c r="J300" s="104"/>
      <c r="K300" s="111"/>
      <c r="L300" s="106">
        <v>0.21</v>
      </c>
      <c r="M300" s="149">
        <v>0.0</v>
      </c>
      <c r="N300" s="108" t="s">
        <v>146</v>
      </c>
      <c r="O300" s="109"/>
      <c r="P300" s="110"/>
    </row>
    <row r="301">
      <c r="A301" s="97" t="s">
        <v>136</v>
      </c>
      <c r="B301" s="98" t="s">
        <v>206</v>
      </c>
      <c r="C301" s="99" t="s">
        <v>212</v>
      </c>
      <c r="D301" s="150">
        <v>100.0</v>
      </c>
      <c r="E301" s="101">
        <v>28.0</v>
      </c>
      <c r="F301" s="102">
        <f t="shared" si="8"/>
        <v>0.3051179267</v>
      </c>
      <c r="G301" s="103">
        <f t="shared" si="2"/>
        <v>6.546</v>
      </c>
      <c r="H301" s="103">
        <f t="shared" si="3"/>
        <v>21.454</v>
      </c>
      <c r="I301" s="143">
        <v>17.0</v>
      </c>
      <c r="J301" s="104"/>
      <c r="K301" s="111"/>
      <c r="L301" s="106">
        <v>0.21</v>
      </c>
      <c r="M301" s="107">
        <v>0.052</v>
      </c>
      <c r="N301" s="108" t="s">
        <v>168</v>
      </c>
      <c r="O301" s="109"/>
      <c r="P301" s="110"/>
    </row>
    <row r="302">
      <c r="A302" s="97"/>
      <c r="B302" s="98"/>
      <c r="C302" s="142" t="s">
        <v>140</v>
      </c>
      <c r="D302" s="100">
        <v>4.0</v>
      </c>
      <c r="E302" s="101">
        <v>2.0</v>
      </c>
      <c r="F302" s="102">
        <f t="shared" si="8"/>
        <v>1.330567726</v>
      </c>
      <c r="G302" s="103">
        <f t="shared" si="2"/>
        <v>1.14184</v>
      </c>
      <c r="H302" s="103">
        <f t="shared" si="3"/>
        <v>0.85816</v>
      </c>
      <c r="I302" s="89">
        <f t="shared" ref="I302:I304" si="58">($I$301*D302)/$D$301</f>
        <v>0.68</v>
      </c>
      <c r="J302" s="104"/>
      <c r="K302" s="111"/>
      <c r="L302" s="106">
        <v>0.21</v>
      </c>
      <c r="M302" s="107">
        <v>0.052</v>
      </c>
      <c r="N302" s="108" t="s">
        <v>168</v>
      </c>
      <c r="O302" s="109"/>
      <c r="P302" s="110"/>
    </row>
    <row r="303">
      <c r="A303" s="97"/>
      <c r="B303" s="98"/>
      <c r="C303" s="142" t="s">
        <v>120</v>
      </c>
      <c r="D303" s="100">
        <v>8.0</v>
      </c>
      <c r="E303" s="101">
        <v>4.0</v>
      </c>
      <c r="F303" s="102">
        <f t="shared" si="8"/>
        <v>1.330567726</v>
      </c>
      <c r="G303" s="103">
        <f t="shared" si="2"/>
        <v>2.28368</v>
      </c>
      <c r="H303" s="103">
        <f t="shared" si="3"/>
        <v>1.71632</v>
      </c>
      <c r="I303" s="89">
        <f t="shared" si="58"/>
        <v>1.36</v>
      </c>
      <c r="J303" s="104"/>
      <c r="K303" s="111"/>
      <c r="L303" s="106">
        <v>0.21</v>
      </c>
      <c r="M303" s="107">
        <v>0.052</v>
      </c>
      <c r="N303" s="108" t="s">
        <v>168</v>
      </c>
      <c r="O303" s="109"/>
      <c r="P303" s="110"/>
    </row>
    <row r="304">
      <c r="A304" s="97"/>
      <c r="B304" s="98"/>
      <c r="C304" s="142" t="s">
        <v>141</v>
      </c>
      <c r="D304" s="100">
        <v>8.0</v>
      </c>
      <c r="E304" s="101">
        <v>6.0</v>
      </c>
      <c r="F304" s="102">
        <f t="shared" si="8"/>
        <v>2.495851589</v>
      </c>
      <c r="G304" s="103">
        <f t="shared" si="2"/>
        <v>4.28368</v>
      </c>
      <c r="H304" s="103">
        <f t="shared" si="3"/>
        <v>1.71632</v>
      </c>
      <c r="I304" s="89">
        <f t="shared" si="58"/>
        <v>1.36</v>
      </c>
      <c r="J304" s="104"/>
      <c r="K304" s="111"/>
      <c r="L304" s="106">
        <v>0.21</v>
      </c>
      <c r="M304" s="107">
        <v>0.052</v>
      </c>
      <c r="N304" s="108" t="s">
        <v>168</v>
      </c>
      <c r="O304" s="109"/>
      <c r="P304" s="110"/>
    </row>
    <row r="305">
      <c r="A305" s="97" t="s">
        <v>136</v>
      </c>
      <c r="B305" s="98" t="s">
        <v>206</v>
      </c>
      <c r="C305" s="99" t="s">
        <v>213</v>
      </c>
      <c r="D305" s="150">
        <v>70.0</v>
      </c>
      <c r="E305" s="101">
        <v>25.0</v>
      </c>
      <c r="F305" s="102">
        <f t="shared" si="8"/>
        <v>0.5598287932</v>
      </c>
      <c r="G305" s="103">
        <f t="shared" si="2"/>
        <v>8.9726</v>
      </c>
      <c r="H305" s="103">
        <f t="shared" si="3"/>
        <v>16.0274</v>
      </c>
      <c r="I305" s="143">
        <v>12.7</v>
      </c>
      <c r="J305" s="104"/>
      <c r="K305" s="111">
        <v>15.57</v>
      </c>
      <c r="L305" s="106">
        <v>0.21</v>
      </c>
      <c r="M305" s="107">
        <v>0.052</v>
      </c>
      <c r="N305" s="108" t="s">
        <v>161</v>
      </c>
      <c r="O305" s="109"/>
      <c r="P305" s="110"/>
    </row>
    <row r="306">
      <c r="A306" s="97"/>
      <c r="B306" s="98"/>
      <c r="C306" s="142" t="s">
        <v>140</v>
      </c>
      <c r="D306" s="100">
        <v>4.0</v>
      </c>
      <c r="E306" s="101">
        <v>1.5</v>
      </c>
      <c r="F306" s="102">
        <f t="shared" si="8"/>
        <v>0.6378202329</v>
      </c>
      <c r="G306" s="103">
        <f t="shared" si="2"/>
        <v>0.5841485714</v>
      </c>
      <c r="H306" s="103">
        <f t="shared" si="3"/>
        <v>0.9158514286</v>
      </c>
      <c r="I306" s="89">
        <f t="shared" ref="I306:I308" si="59">($I$305*D306)/$D$305</f>
        <v>0.7257142857</v>
      </c>
      <c r="J306" s="104"/>
      <c r="K306" s="111">
        <v>15.57</v>
      </c>
      <c r="L306" s="106">
        <v>0.21</v>
      </c>
      <c r="M306" s="107">
        <v>0.052</v>
      </c>
      <c r="N306" s="108" t="s">
        <v>161</v>
      </c>
      <c r="O306" s="109"/>
      <c r="P306" s="110"/>
    </row>
    <row r="307">
      <c r="A307" s="97"/>
      <c r="B307" s="98"/>
      <c r="C307" s="142" t="s">
        <v>120</v>
      </c>
      <c r="D307" s="100">
        <v>8.0</v>
      </c>
      <c r="E307" s="101">
        <v>2.0</v>
      </c>
      <c r="F307" s="102">
        <f t="shared" si="8"/>
        <v>0.09188015523</v>
      </c>
      <c r="G307" s="103">
        <f t="shared" si="2"/>
        <v>0.1682971429</v>
      </c>
      <c r="H307" s="103">
        <f t="shared" si="3"/>
        <v>1.831702857</v>
      </c>
      <c r="I307" s="89">
        <f t="shared" si="59"/>
        <v>1.451428571</v>
      </c>
      <c r="J307" s="104"/>
      <c r="K307" s="111">
        <v>15.57</v>
      </c>
      <c r="L307" s="106">
        <v>0.21</v>
      </c>
      <c r="M307" s="107">
        <v>0.052</v>
      </c>
      <c r="N307" s="108" t="s">
        <v>161</v>
      </c>
      <c r="O307" s="109"/>
      <c r="P307" s="110"/>
    </row>
    <row r="308">
      <c r="A308" s="97"/>
      <c r="B308" s="98"/>
      <c r="C308" s="142" t="s">
        <v>141</v>
      </c>
      <c r="D308" s="100">
        <v>8.0</v>
      </c>
      <c r="E308" s="101">
        <v>3.5</v>
      </c>
      <c r="F308" s="102">
        <f t="shared" si="8"/>
        <v>0.9107902717</v>
      </c>
      <c r="G308" s="103">
        <f t="shared" si="2"/>
        <v>1.668297143</v>
      </c>
      <c r="H308" s="103">
        <f t="shared" si="3"/>
        <v>1.831702857</v>
      </c>
      <c r="I308" s="89">
        <f t="shared" si="59"/>
        <v>1.451428571</v>
      </c>
      <c r="J308" s="104"/>
      <c r="K308" s="111">
        <v>15.57</v>
      </c>
      <c r="L308" s="106">
        <v>0.21</v>
      </c>
      <c r="M308" s="107">
        <v>0.052</v>
      </c>
      <c r="N308" s="108" t="s">
        <v>161</v>
      </c>
      <c r="O308" s="109"/>
      <c r="P308" s="110"/>
    </row>
    <row r="309">
      <c r="A309" s="97" t="s">
        <v>136</v>
      </c>
      <c r="B309" s="98" t="s">
        <v>206</v>
      </c>
      <c r="C309" s="99" t="s">
        <v>214</v>
      </c>
      <c r="D309" s="150">
        <v>100.0</v>
      </c>
      <c r="E309" s="101">
        <v>20.0</v>
      </c>
      <c r="F309" s="102">
        <f t="shared" si="8"/>
        <v>0.5026296018</v>
      </c>
      <c r="G309" s="103">
        <f t="shared" si="2"/>
        <v>6.69</v>
      </c>
      <c r="H309" s="103">
        <f t="shared" si="3"/>
        <v>13.31</v>
      </c>
      <c r="I309" s="143">
        <v>11.0</v>
      </c>
      <c r="J309" s="104"/>
      <c r="K309" s="111"/>
      <c r="L309" s="106">
        <v>0.21</v>
      </c>
      <c r="M309" s="149">
        <v>0.0</v>
      </c>
      <c r="N309" s="108" t="s">
        <v>146</v>
      </c>
      <c r="O309" s="109"/>
      <c r="P309" s="110"/>
    </row>
    <row r="310">
      <c r="A310" s="97"/>
      <c r="B310" s="98"/>
      <c r="C310" s="142" t="s">
        <v>140</v>
      </c>
      <c r="D310" s="100">
        <v>4.0</v>
      </c>
      <c r="E310" s="101">
        <v>1.0</v>
      </c>
      <c r="F310" s="102">
        <f t="shared" si="8"/>
        <v>0.8782870023</v>
      </c>
      <c r="G310" s="103">
        <f t="shared" si="2"/>
        <v>0.4676</v>
      </c>
      <c r="H310" s="103">
        <f t="shared" si="3"/>
        <v>0.5324</v>
      </c>
      <c r="I310" s="89">
        <f t="shared" ref="I310:I312" si="60">($I$309*D310)/$D$309</f>
        <v>0.44</v>
      </c>
      <c r="J310" s="104"/>
      <c r="K310" s="111"/>
      <c r="L310" s="106">
        <v>0.21</v>
      </c>
      <c r="M310" s="149">
        <v>0.0</v>
      </c>
      <c r="N310" s="108" t="s">
        <v>146</v>
      </c>
      <c r="O310" s="109"/>
      <c r="P310" s="110"/>
    </row>
    <row r="311">
      <c r="A311" s="97"/>
      <c r="B311" s="98"/>
      <c r="C311" s="142" t="s">
        <v>120</v>
      </c>
      <c r="D311" s="100">
        <v>8.0</v>
      </c>
      <c r="E311" s="101">
        <v>1.5</v>
      </c>
      <c r="F311" s="102">
        <f t="shared" si="8"/>
        <v>0.4087152517</v>
      </c>
      <c r="G311" s="103">
        <f t="shared" si="2"/>
        <v>0.4352</v>
      </c>
      <c r="H311" s="103">
        <f t="shared" si="3"/>
        <v>1.0648</v>
      </c>
      <c r="I311" s="89">
        <f t="shared" si="60"/>
        <v>0.88</v>
      </c>
      <c r="J311" s="104"/>
      <c r="K311" s="111"/>
      <c r="L311" s="106">
        <v>0.21</v>
      </c>
      <c r="M311" s="149">
        <v>0.0</v>
      </c>
      <c r="N311" s="108" t="s">
        <v>146</v>
      </c>
      <c r="O311" s="109"/>
      <c r="P311" s="110"/>
    </row>
    <row r="312">
      <c r="A312" s="97"/>
      <c r="B312" s="98"/>
      <c r="C312" s="142" t="s">
        <v>141</v>
      </c>
      <c r="D312" s="100">
        <v>8.0</v>
      </c>
      <c r="E312" s="101">
        <v>3.5</v>
      </c>
      <c r="F312" s="102">
        <f t="shared" si="8"/>
        <v>2.287002254</v>
      </c>
      <c r="G312" s="103">
        <f t="shared" si="2"/>
        <v>2.4352</v>
      </c>
      <c r="H312" s="103">
        <f t="shared" si="3"/>
        <v>1.0648</v>
      </c>
      <c r="I312" s="89">
        <f t="shared" si="60"/>
        <v>0.88</v>
      </c>
      <c r="J312" s="104"/>
      <c r="K312" s="111"/>
      <c r="L312" s="106">
        <v>0.21</v>
      </c>
      <c r="M312" s="149">
        <v>0.0</v>
      </c>
      <c r="N312" s="108" t="s">
        <v>146</v>
      </c>
      <c r="O312" s="109"/>
      <c r="P312" s="110"/>
    </row>
    <row r="313">
      <c r="A313" s="97" t="s">
        <v>136</v>
      </c>
      <c r="B313" s="98" t="s">
        <v>209</v>
      </c>
      <c r="C313" s="99" t="s">
        <v>215</v>
      </c>
      <c r="D313" s="150">
        <v>70.0</v>
      </c>
      <c r="E313" s="101">
        <v>22.0</v>
      </c>
      <c r="F313" s="102">
        <f t="shared" si="8"/>
        <v>0.8181818182</v>
      </c>
      <c r="G313" s="103">
        <f t="shared" si="2"/>
        <v>9.9</v>
      </c>
      <c r="H313" s="103">
        <f t="shared" si="3"/>
        <v>12.1</v>
      </c>
      <c r="I313" s="143">
        <v>10.0</v>
      </c>
      <c r="J313" s="104"/>
      <c r="K313" s="111"/>
      <c r="L313" s="106">
        <v>0.21</v>
      </c>
      <c r="M313" s="149">
        <v>0.0</v>
      </c>
      <c r="N313" s="108" t="s">
        <v>146</v>
      </c>
      <c r="O313" s="109"/>
      <c r="P313" s="110"/>
    </row>
    <row r="314">
      <c r="A314" s="97"/>
      <c r="B314" s="98"/>
      <c r="C314" s="142" t="s">
        <v>140</v>
      </c>
      <c r="D314" s="100">
        <v>4.0</v>
      </c>
      <c r="E314" s="101">
        <v>1.0</v>
      </c>
      <c r="F314" s="102">
        <f t="shared" si="8"/>
        <v>0.4462809917</v>
      </c>
      <c r="G314" s="103">
        <f t="shared" si="2"/>
        <v>0.3085714286</v>
      </c>
      <c r="H314" s="103">
        <f t="shared" si="3"/>
        <v>0.6914285714</v>
      </c>
      <c r="I314" s="89">
        <f t="shared" ref="I314:I316" si="61">($I$313*D314)/$D$313</f>
        <v>0.5714285714</v>
      </c>
      <c r="J314" s="104"/>
      <c r="K314" s="111"/>
      <c r="L314" s="106">
        <v>0.21</v>
      </c>
      <c r="M314" s="149">
        <v>0.0</v>
      </c>
      <c r="N314" s="108" t="s">
        <v>146</v>
      </c>
      <c r="O314" s="109"/>
      <c r="P314" s="110"/>
    </row>
    <row r="315">
      <c r="A315" s="97"/>
      <c r="B315" s="98"/>
      <c r="C315" s="142" t="s">
        <v>120</v>
      </c>
      <c r="D315" s="100">
        <v>8.0</v>
      </c>
      <c r="E315" s="101">
        <v>2.0</v>
      </c>
      <c r="F315" s="102">
        <f t="shared" si="8"/>
        <v>0.4462809917</v>
      </c>
      <c r="G315" s="103">
        <f t="shared" si="2"/>
        <v>0.6171428571</v>
      </c>
      <c r="H315" s="103">
        <f t="shared" si="3"/>
        <v>1.382857143</v>
      </c>
      <c r="I315" s="89">
        <f t="shared" si="61"/>
        <v>1.142857143</v>
      </c>
      <c r="J315" s="104"/>
      <c r="K315" s="111"/>
      <c r="L315" s="106">
        <v>0.21</v>
      </c>
      <c r="M315" s="149">
        <v>0.0</v>
      </c>
      <c r="N315" s="108" t="s">
        <v>146</v>
      </c>
      <c r="O315" s="109"/>
      <c r="P315" s="110"/>
    </row>
    <row r="316">
      <c r="A316" s="97"/>
      <c r="B316" s="98"/>
      <c r="C316" s="142" t="s">
        <v>141</v>
      </c>
      <c r="D316" s="100">
        <v>8.0</v>
      </c>
      <c r="E316" s="101">
        <v>3.5</v>
      </c>
      <c r="F316" s="102">
        <f t="shared" si="8"/>
        <v>1.530991736</v>
      </c>
      <c r="G316" s="103">
        <f t="shared" si="2"/>
        <v>2.117142857</v>
      </c>
      <c r="H316" s="103">
        <f t="shared" si="3"/>
        <v>1.382857143</v>
      </c>
      <c r="I316" s="89">
        <f t="shared" si="61"/>
        <v>1.142857143</v>
      </c>
      <c r="J316" s="104"/>
      <c r="K316" s="111"/>
      <c r="L316" s="106">
        <v>0.21</v>
      </c>
      <c r="M316" s="149">
        <v>0.0</v>
      </c>
      <c r="N316" s="108" t="s">
        <v>146</v>
      </c>
      <c r="O316" s="109"/>
      <c r="P316" s="110"/>
    </row>
    <row r="317">
      <c r="A317" s="97" t="s">
        <v>136</v>
      </c>
      <c r="B317" s="98" t="s">
        <v>206</v>
      </c>
      <c r="C317" s="99" t="s">
        <v>216</v>
      </c>
      <c r="D317" s="150">
        <v>70.0</v>
      </c>
      <c r="E317" s="101">
        <v>15.0</v>
      </c>
      <c r="F317" s="102">
        <f t="shared" si="8"/>
        <v>0.3774104683</v>
      </c>
      <c r="G317" s="103">
        <f t="shared" si="2"/>
        <v>4.11</v>
      </c>
      <c r="H317" s="103">
        <f t="shared" si="3"/>
        <v>10.89</v>
      </c>
      <c r="I317" s="143">
        <v>9.0</v>
      </c>
      <c r="J317" s="104"/>
      <c r="K317" s="111"/>
      <c r="L317" s="106">
        <v>0.21</v>
      </c>
      <c r="M317" s="149">
        <v>0.0</v>
      </c>
      <c r="N317" s="108" t="s">
        <v>146</v>
      </c>
      <c r="O317" s="109"/>
      <c r="P317" s="110"/>
    </row>
    <row r="318">
      <c r="A318" s="97"/>
      <c r="B318" s="98"/>
      <c r="C318" s="142" t="s">
        <v>140</v>
      </c>
      <c r="D318" s="100">
        <v>4.0</v>
      </c>
      <c r="E318" s="101">
        <v>1.0</v>
      </c>
      <c r="F318" s="102">
        <f t="shared" si="8"/>
        <v>0.6069788797</v>
      </c>
      <c r="G318" s="103">
        <f t="shared" si="2"/>
        <v>0.3777142857</v>
      </c>
      <c r="H318" s="103">
        <f t="shared" si="3"/>
        <v>0.6222857143</v>
      </c>
      <c r="I318" s="89">
        <f t="shared" ref="I318:I320" si="62">($I$317*D318)/$D$317</f>
        <v>0.5142857143</v>
      </c>
      <c r="J318" s="104"/>
      <c r="K318" s="111"/>
      <c r="L318" s="106">
        <v>0.21</v>
      </c>
      <c r="M318" s="149">
        <v>0.0</v>
      </c>
      <c r="N318" s="108" t="s">
        <v>146</v>
      </c>
      <c r="O318" s="109"/>
      <c r="P318" s="110"/>
    </row>
    <row r="319">
      <c r="A319" s="97"/>
      <c r="B319" s="98"/>
      <c r="C319" s="142" t="s">
        <v>120</v>
      </c>
      <c r="D319" s="100">
        <v>8.0</v>
      </c>
      <c r="E319" s="101">
        <v>2.0</v>
      </c>
      <c r="F319" s="102">
        <f t="shared" si="8"/>
        <v>0.6069788797</v>
      </c>
      <c r="G319" s="103">
        <f t="shared" si="2"/>
        <v>0.7554285714</v>
      </c>
      <c r="H319" s="103">
        <f t="shared" si="3"/>
        <v>1.244571429</v>
      </c>
      <c r="I319" s="89">
        <f t="shared" si="62"/>
        <v>1.028571429</v>
      </c>
      <c r="J319" s="104"/>
      <c r="K319" s="111"/>
      <c r="L319" s="106">
        <v>0.21</v>
      </c>
      <c r="M319" s="149">
        <v>0.0</v>
      </c>
      <c r="N319" s="108" t="s">
        <v>146</v>
      </c>
      <c r="O319" s="109"/>
      <c r="P319" s="110"/>
    </row>
    <row r="320">
      <c r="A320" s="112"/>
      <c r="B320" s="113"/>
      <c r="C320" s="145" t="s">
        <v>141</v>
      </c>
      <c r="D320" s="115">
        <v>8.0</v>
      </c>
      <c r="E320" s="116">
        <v>3.5</v>
      </c>
      <c r="F320" s="117">
        <f t="shared" si="8"/>
        <v>1.812213039</v>
      </c>
      <c r="G320" s="118">
        <f t="shared" si="2"/>
        <v>2.255428571</v>
      </c>
      <c r="H320" s="118">
        <f t="shared" si="3"/>
        <v>1.244571429</v>
      </c>
      <c r="I320" s="119">
        <f t="shared" si="62"/>
        <v>1.028571429</v>
      </c>
      <c r="J320" s="120"/>
      <c r="K320" s="121"/>
      <c r="L320" s="122">
        <v>0.21</v>
      </c>
      <c r="M320" s="154">
        <v>0.0</v>
      </c>
      <c r="N320" s="124" t="s">
        <v>146</v>
      </c>
      <c r="O320" s="125"/>
      <c r="P320" s="126"/>
    </row>
  </sheetData>
  <mergeCells count="328">
    <mergeCell ref="A1:B3"/>
    <mergeCell ref="C1:D3"/>
    <mergeCell ref="N1:O1"/>
    <mergeCell ref="G2:G3"/>
    <mergeCell ref="J2:J3"/>
    <mergeCell ref="L2:L3"/>
    <mergeCell ref="M2:M3"/>
    <mergeCell ref="A5:B5"/>
    <mergeCell ref="D5:D6"/>
    <mergeCell ref="E5:E6"/>
    <mergeCell ref="F5:G5"/>
    <mergeCell ref="L5:L6"/>
    <mergeCell ref="N5:O6"/>
    <mergeCell ref="P5:P6"/>
    <mergeCell ref="N7:O7"/>
    <mergeCell ref="N8:O8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  <mergeCell ref="N50:O50"/>
    <mergeCell ref="N51:O51"/>
    <mergeCell ref="N52:O52"/>
    <mergeCell ref="N53:O53"/>
    <mergeCell ref="N54:O54"/>
    <mergeCell ref="N55:O55"/>
    <mergeCell ref="N56:O56"/>
    <mergeCell ref="N57:O57"/>
    <mergeCell ref="N58:O58"/>
    <mergeCell ref="N59:O59"/>
    <mergeCell ref="N60:O60"/>
    <mergeCell ref="N61:O61"/>
    <mergeCell ref="N62:O62"/>
    <mergeCell ref="N63:O63"/>
    <mergeCell ref="N64:O64"/>
    <mergeCell ref="N65:O65"/>
    <mergeCell ref="N66:O66"/>
    <mergeCell ref="N67:O67"/>
    <mergeCell ref="N68:O68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78:O78"/>
    <mergeCell ref="N79:O79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N90:O90"/>
    <mergeCell ref="N91:O91"/>
    <mergeCell ref="N92:O92"/>
    <mergeCell ref="N93:O93"/>
    <mergeCell ref="N94:O94"/>
    <mergeCell ref="N95:O95"/>
    <mergeCell ref="N96:O96"/>
    <mergeCell ref="N97:O97"/>
    <mergeCell ref="N98:O98"/>
    <mergeCell ref="N99:O99"/>
    <mergeCell ref="N100:O100"/>
    <mergeCell ref="N101:O101"/>
    <mergeCell ref="N102:O102"/>
    <mergeCell ref="N103:O103"/>
    <mergeCell ref="N104:O104"/>
    <mergeCell ref="N105:O105"/>
    <mergeCell ref="N106:O106"/>
    <mergeCell ref="N107:O107"/>
    <mergeCell ref="N108:O108"/>
    <mergeCell ref="N109:O109"/>
    <mergeCell ref="N110:O110"/>
    <mergeCell ref="N111:O111"/>
    <mergeCell ref="N112:O112"/>
    <mergeCell ref="N113:O113"/>
    <mergeCell ref="N114:O114"/>
    <mergeCell ref="N115:O115"/>
    <mergeCell ref="N116:O116"/>
    <mergeCell ref="N117:O117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N129:O129"/>
    <mergeCell ref="N130:O130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N139:O139"/>
    <mergeCell ref="N140:O140"/>
    <mergeCell ref="N141:O141"/>
    <mergeCell ref="N142:O142"/>
    <mergeCell ref="N143:O143"/>
    <mergeCell ref="N144:O144"/>
    <mergeCell ref="N145:O145"/>
    <mergeCell ref="N146:O146"/>
    <mergeCell ref="N147:O147"/>
    <mergeCell ref="N148:O148"/>
    <mergeCell ref="N149:O149"/>
    <mergeCell ref="N150:O150"/>
    <mergeCell ref="N151:O151"/>
    <mergeCell ref="N152:O152"/>
    <mergeCell ref="N153:O153"/>
    <mergeCell ref="N154:O154"/>
    <mergeCell ref="N155:O155"/>
    <mergeCell ref="N156:O156"/>
    <mergeCell ref="N157:O157"/>
    <mergeCell ref="N158:O158"/>
    <mergeCell ref="N159:O159"/>
    <mergeCell ref="N160:O160"/>
    <mergeCell ref="N161:O161"/>
    <mergeCell ref="N162:O162"/>
    <mergeCell ref="N163:O163"/>
    <mergeCell ref="N164:O164"/>
    <mergeCell ref="N165:O165"/>
    <mergeCell ref="N166:O166"/>
    <mergeCell ref="N167:O167"/>
    <mergeCell ref="N168:O168"/>
    <mergeCell ref="N169:O169"/>
    <mergeCell ref="N170:O170"/>
    <mergeCell ref="N171:O171"/>
    <mergeCell ref="N172:O172"/>
    <mergeCell ref="N173:O173"/>
    <mergeCell ref="N174:O174"/>
    <mergeCell ref="N175:O175"/>
    <mergeCell ref="N176:O176"/>
    <mergeCell ref="N177:O177"/>
    <mergeCell ref="N178:O178"/>
    <mergeCell ref="N179:O179"/>
    <mergeCell ref="N180:O180"/>
    <mergeCell ref="N181:O181"/>
    <mergeCell ref="N182:O182"/>
    <mergeCell ref="N183:O183"/>
    <mergeCell ref="N184:O184"/>
    <mergeCell ref="N185:O185"/>
    <mergeCell ref="N186:O186"/>
    <mergeCell ref="N187:O187"/>
    <mergeCell ref="N188:O188"/>
    <mergeCell ref="N189:O189"/>
    <mergeCell ref="N190:O190"/>
    <mergeCell ref="N191:O191"/>
    <mergeCell ref="N192:O192"/>
    <mergeCell ref="N193:O193"/>
    <mergeCell ref="N194:O194"/>
    <mergeCell ref="N195:O195"/>
    <mergeCell ref="N196:O196"/>
    <mergeCell ref="N197:O197"/>
    <mergeCell ref="N198:O198"/>
    <mergeCell ref="N199:O199"/>
    <mergeCell ref="N200:O200"/>
    <mergeCell ref="N201:O201"/>
    <mergeCell ref="N202:O202"/>
    <mergeCell ref="N203:O203"/>
    <mergeCell ref="N204:O204"/>
    <mergeCell ref="N205:O205"/>
    <mergeCell ref="N206:O206"/>
    <mergeCell ref="N207:O207"/>
    <mergeCell ref="N208:O208"/>
    <mergeCell ref="N209:O209"/>
    <mergeCell ref="N210:O210"/>
    <mergeCell ref="N211:O211"/>
    <mergeCell ref="N212:O212"/>
    <mergeCell ref="N213:O213"/>
    <mergeCell ref="N214:O214"/>
    <mergeCell ref="N215:O215"/>
    <mergeCell ref="N216:O216"/>
    <mergeCell ref="N217:O217"/>
    <mergeCell ref="N218:O218"/>
    <mergeCell ref="N219:O219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8:O228"/>
    <mergeCell ref="N229:O229"/>
    <mergeCell ref="N230:O230"/>
    <mergeCell ref="N231:O231"/>
    <mergeCell ref="N232:O232"/>
    <mergeCell ref="N233:O233"/>
    <mergeCell ref="N234:O234"/>
    <mergeCell ref="N235:O235"/>
    <mergeCell ref="N236:O236"/>
    <mergeCell ref="N237:O237"/>
    <mergeCell ref="N287:O287"/>
    <mergeCell ref="N288:O288"/>
    <mergeCell ref="N289:O289"/>
    <mergeCell ref="N290:O290"/>
    <mergeCell ref="N291:O291"/>
    <mergeCell ref="N292:O292"/>
    <mergeCell ref="N293:O293"/>
    <mergeCell ref="N294:O294"/>
    <mergeCell ref="N295:O295"/>
    <mergeCell ref="N296:O296"/>
    <mergeCell ref="N297:O297"/>
    <mergeCell ref="N298:O298"/>
    <mergeCell ref="N299:O299"/>
    <mergeCell ref="N300:O300"/>
    <mergeCell ref="N301:O301"/>
    <mergeCell ref="N302:O302"/>
    <mergeCell ref="N303:O303"/>
    <mergeCell ref="N304:O304"/>
    <mergeCell ref="N305:O305"/>
    <mergeCell ref="N306:O306"/>
    <mergeCell ref="N307:O307"/>
    <mergeCell ref="N315:O315"/>
    <mergeCell ref="N316:O316"/>
    <mergeCell ref="N317:O317"/>
    <mergeCell ref="N318:O318"/>
    <mergeCell ref="N319:O319"/>
    <mergeCell ref="N320:O320"/>
    <mergeCell ref="N308:O308"/>
    <mergeCell ref="N309:O309"/>
    <mergeCell ref="N310:O310"/>
    <mergeCell ref="N311:O311"/>
    <mergeCell ref="N312:O312"/>
    <mergeCell ref="N313:O313"/>
    <mergeCell ref="N314:O314"/>
    <mergeCell ref="N238:O238"/>
    <mergeCell ref="N239:O239"/>
    <mergeCell ref="N240:O240"/>
    <mergeCell ref="N241:O241"/>
    <mergeCell ref="N242:O242"/>
    <mergeCell ref="N243:O243"/>
    <mergeCell ref="N244:O244"/>
    <mergeCell ref="N245:O245"/>
    <mergeCell ref="N246:O246"/>
    <mergeCell ref="N247:O247"/>
    <mergeCell ref="N248:O248"/>
    <mergeCell ref="N249:O249"/>
    <mergeCell ref="N250:O250"/>
    <mergeCell ref="N251:O251"/>
    <mergeCell ref="N252:O252"/>
    <mergeCell ref="N253:O253"/>
    <mergeCell ref="N254:O254"/>
    <mergeCell ref="N255:O255"/>
    <mergeCell ref="N256:O256"/>
    <mergeCell ref="N257:O257"/>
    <mergeCell ref="N258:O258"/>
    <mergeCell ref="N259:O259"/>
    <mergeCell ref="N260:O260"/>
    <mergeCell ref="N261:O261"/>
    <mergeCell ref="N262:O262"/>
    <mergeCell ref="N263:O263"/>
    <mergeCell ref="N264:O264"/>
    <mergeCell ref="N265:O265"/>
    <mergeCell ref="N266:O266"/>
    <mergeCell ref="N267:O267"/>
    <mergeCell ref="N268:O268"/>
    <mergeCell ref="N269:O269"/>
    <mergeCell ref="N270:O270"/>
    <mergeCell ref="N271:O271"/>
    <mergeCell ref="N272:O272"/>
    <mergeCell ref="N273:O273"/>
    <mergeCell ref="N274:O274"/>
    <mergeCell ref="N275:O275"/>
    <mergeCell ref="N276:O276"/>
    <mergeCell ref="N277:O277"/>
    <mergeCell ref="N278:O278"/>
    <mergeCell ref="N279:O279"/>
    <mergeCell ref="N280:O280"/>
    <mergeCell ref="N281:O281"/>
    <mergeCell ref="N282:O282"/>
    <mergeCell ref="N283:O283"/>
    <mergeCell ref="N284:O284"/>
    <mergeCell ref="N285:O285"/>
    <mergeCell ref="N286:O286"/>
  </mergeCells>
  <conditionalFormatting sqref="F7:F320">
    <cfRule type="cellIs" dxfId="0" priority="1" operator="lessThan">
      <formula>0</formula>
    </cfRule>
  </conditionalFormatting>
  <dataValidations>
    <dataValidation type="list" allowBlank="1" sqref="M2 M7:M320">
      <formula1>'Begudes - La Parròquia'!$F$2:$F$4</formula1>
    </dataValidation>
    <dataValidation type="list" allowBlank="1" sqref="L2 P2 L7:L320">
      <formula1>'Begudes - La Parròquia'!$E$2:$E$3</formula1>
    </dataValidation>
  </dataValidations>
  <hyperlinks>
    <hyperlink r:id="rId4" ref="N110"/>
    <hyperlink r:id="rId5" ref="N118"/>
  </hyperlinks>
  <printOptions horizontalCentered="1"/>
  <pageMargins bottom="0.19685039370078738" footer="0.0" header="0.0" left="0.6" right="0.6" top="0.5905511811023622"/>
  <pageSetup paperSize="9" scale="50" orientation="portrait" pageOrder="overThenDown"/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 outlineLevelCol="1" outlineLevelRow="1"/>
  <cols>
    <col customWidth="1" min="1" max="1" width="4.88"/>
    <col customWidth="1" min="2" max="2" width="13.88"/>
    <col customWidth="1" min="3" max="3" width="26.38"/>
    <col collapsed="1" customWidth="1" min="4" max="4" width="7.63"/>
    <col customWidth="1" hidden="1" min="5" max="5" width="5.88" outlineLevel="1"/>
    <col customWidth="1" hidden="1" min="6" max="8" width="7.63" outlineLevel="1"/>
    <col customWidth="1" hidden="1" min="9" max="10" width="6.38" outlineLevel="1"/>
    <col customWidth="1" hidden="1" min="11" max="12" width="7.63" outlineLevel="1"/>
    <col customWidth="1" hidden="1" min="13" max="14" width="8.88" outlineLevel="1"/>
    <col customWidth="1" hidden="1" min="15" max="15" width="16.38" outlineLevel="1"/>
  </cols>
  <sheetData>
    <row r="1" outlineLevel="1">
      <c r="A1" s="1"/>
      <c r="C1" s="2" t="s">
        <v>217</v>
      </c>
      <c r="D1" s="4"/>
      <c r="E1" s="4" t="s">
        <v>1</v>
      </c>
      <c r="F1" s="5" t="s">
        <v>2</v>
      </c>
      <c r="G1" s="5" t="s">
        <v>3</v>
      </c>
      <c r="H1" s="6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7" t="s">
        <v>9</v>
      </c>
      <c r="O1" s="5" t="s">
        <v>7</v>
      </c>
    </row>
    <row r="2" outlineLevel="1">
      <c r="D2" s="8">
        <v>0.21</v>
      </c>
      <c r="E2" s="8">
        <v>0.052</v>
      </c>
      <c r="F2" s="9">
        <v>1.0</v>
      </c>
      <c r="G2" s="10">
        <f>H2+(H2*K2)+(H2*L2)</f>
        <v>1.21</v>
      </c>
      <c r="H2" s="155">
        <v>1.0</v>
      </c>
      <c r="I2" s="12">
        <v>1.0</v>
      </c>
      <c r="J2" s="13">
        <f>F2*I2*H2</f>
        <v>1</v>
      </c>
      <c r="K2" s="14">
        <v>0.21</v>
      </c>
      <c r="L2" s="15">
        <v>0.0</v>
      </c>
      <c r="M2" s="16" t="s">
        <v>10</v>
      </c>
      <c r="N2" s="17">
        <v>1.21</v>
      </c>
      <c r="O2" s="18">
        <v>0.21</v>
      </c>
    </row>
    <row r="3" ht="15.75" customHeight="1" outlineLevel="1">
      <c r="A3" s="19"/>
      <c r="B3" s="19"/>
      <c r="C3" s="19"/>
      <c r="D3" s="8">
        <v>0.1</v>
      </c>
      <c r="E3" s="8">
        <v>0.014</v>
      </c>
      <c r="F3" s="20"/>
      <c r="G3" s="10">
        <f>H3+(H3*K2)+(H3*L2)</f>
        <v>1.4641</v>
      </c>
      <c r="H3" s="156">
        <f>J3/(F2*I2)</f>
        <v>1.21</v>
      </c>
      <c r="I3" s="22"/>
      <c r="J3" s="23">
        <v>1.21</v>
      </c>
      <c r="K3" s="24"/>
      <c r="L3" s="25"/>
      <c r="M3" s="26" t="s">
        <v>4</v>
      </c>
      <c r="N3" s="157">
        <f>N2/D4</f>
        <v>1</v>
      </c>
      <c r="O3" s="158">
        <f>N3</f>
        <v>1</v>
      </c>
    </row>
    <row r="4" ht="5.25" customHeight="1" outlineLevel="1">
      <c r="A4" s="29"/>
      <c r="B4" s="29"/>
      <c r="C4" s="30"/>
      <c r="D4" s="31">
        <f>IFS($O$2=21%,1.21,$O$2=10%,1.1)</f>
        <v>1.21</v>
      </c>
      <c r="E4" s="31">
        <v>0.0</v>
      </c>
      <c r="F4" s="32"/>
      <c r="G4" s="32"/>
      <c r="H4" s="32"/>
      <c r="I4" s="32"/>
      <c r="J4" s="32"/>
      <c r="K4" s="32"/>
      <c r="L4" s="32"/>
      <c r="M4" s="32"/>
      <c r="N4" s="32"/>
      <c r="O4" s="32"/>
    </row>
    <row r="5">
      <c r="A5" s="33" t="s">
        <v>11</v>
      </c>
      <c r="B5" s="34"/>
      <c r="C5" s="35" t="s">
        <v>217</v>
      </c>
      <c r="D5" s="37" t="s">
        <v>10</v>
      </c>
      <c r="E5" s="38" t="s">
        <v>13</v>
      </c>
      <c r="F5" s="39"/>
      <c r="G5" s="40" t="s">
        <v>14</v>
      </c>
      <c r="H5" s="41" t="s">
        <v>15</v>
      </c>
      <c r="I5" s="42" t="s">
        <v>16</v>
      </c>
      <c r="J5" s="36" t="s">
        <v>17</v>
      </c>
      <c r="K5" s="43" t="s">
        <v>7</v>
      </c>
      <c r="L5" s="44" t="s">
        <v>18</v>
      </c>
      <c r="M5" s="43" t="s">
        <v>19</v>
      </c>
      <c r="N5" s="45"/>
      <c r="O5" s="43" t="s">
        <v>20</v>
      </c>
    </row>
    <row r="6">
      <c r="A6" s="36" t="s">
        <v>21</v>
      </c>
      <c r="B6" s="36" t="s">
        <v>22</v>
      </c>
      <c r="C6" s="36" t="s">
        <v>218</v>
      </c>
      <c r="D6" s="47"/>
      <c r="E6" s="48" t="s">
        <v>24</v>
      </c>
      <c r="F6" s="36" t="s">
        <v>25</v>
      </c>
      <c r="G6" s="40" t="s">
        <v>26</v>
      </c>
      <c r="H6" s="49" t="s">
        <v>27</v>
      </c>
      <c r="I6" s="42" t="s">
        <v>28</v>
      </c>
      <c r="J6" s="36" t="s">
        <v>28</v>
      </c>
      <c r="K6" s="50"/>
      <c r="L6" s="44" t="s">
        <v>8</v>
      </c>
      <c r="M6" s="50"/>
      <c r="N6" s="45"/>
      <c r="O6" s="50"/>
    </row>
    <row r="7">
      <c r="A7" s="51" t="s">
        <v>219</v>
      </c>
      <c r="B7" s="52" t="s">
        <v>220</v>
      </c>
      <c r="C7" s="99" t="s">
        <v>221</v>
      </c>
      <c r="D7" s="101">
        <v>5.0</v>
      </c>
      <c r="E7" s="56">
        <f t="shared" ref="E7:E162" si="1">IF(D7="","",F7/D7)</f>
        <v>1</v>
      </c>
      <c r="F7" s="103">
        <f t="shared" ref="F7:F162" si="2">D7-G7</f>
        <v>5</v>
      </c>
      <c r="G7" s="103">
        <f t="shared" ref="G7:G162" si="3">H7+(H7*K7)+(H7*L7)</f>
        <v>0</v>
      </c>
      <c r="H7" s="89">
        <f t="shared" ref="H7:H162" si="4">J7/I7</f>
        <v>0</v>
      </c>
      <c r="I7" s="104">
        <v>1.0</v>
      </c>
      <c r="J7" s="111"/>
      <c r="K7" s="106">
        <v>0.1</v>
      </c>
      <c r="L7" s="149">
        <v>0.0</v>
      </c>
      <c r="M7" s="108"/>
      <c r="N7" s="109"/>
      <c r="O7" s="110"/>
    </row>
    <row r="8">
      <c r="A8" s="51" t="s">
        <v>219</v>
      </c>
      <c r="B8" s="52" t="s">
        <v>220</v>
      </c>
      <c r="C8" s="99" t="s">
        <v>222</v>
      </c>
      <c r="D8" s="101">
        <v>6.0</v>
      </c>
      <c r="E8" s="56">
        <f t="shared" si="1"/>
        <v>1</v>
      </c>
      <c r="F8" s="103">
        <f t="shared" si="2"/>
        <v>6</v>
      </c>
      <c r="G8" s="103">
        <f t="shared" si="3"/>
        <v>0</v>
      </c>
      <c r="H8" s="89">
        <f t="shared" si="4"/>
        <v>0</v>
      </c>
      <c r="I8" s="104">
        <v>1.0</v>
      </c>
      <c r="J8" s="111"/>
      <c r="K8" s="106">
        <v>0.1</v>
      </c>
      <c r="L8" s="149">
        <v>0.0</v>
      </c>
      <c r="M8" s="108"/>
      <c r="N8" s="109"/>
      <c r="O8" s="110"/>
    </row>
    <row r="9">
      <c r="A9" s="97" t="s">
        <v>219</v>
      </c>
      <c r="B9" s="98" t="s">
        <v>220</v>
      </c>
      <c r="C9" s="99" t="s">
        <v>223</v>
      </c>
      <c r="D9" s="101">
        <v>4.0</v>
      </c>
      <c r="E9" s="102">
        <f t="shared" si="1"/>
        <v>1</v>
      </c>
      <c r="F9" s="103">
        <f t="shared" si="2"/>
        <v>4</v>
      </c>
      <c r="G9" s="103">
        <f t="shared" si="3"/>
        <v>0</v>
      </c>
      <c r="H9" s="89">
        <f t="shared" si="4"/>
        <v>0</v>
      </c>
      <c r="I9" s="104">
        <v>1.0</v>
      </c>
      <c r="J9" s="111"/>
      <c r="K9" s="106">
        <v>0.1</v>
      </c>
      <c r="L9" s="149">
        <v>0.0</v>
      </c>
      <c r="M9" s="108"/>
      <c r="N9" s="109"/>
      <c r="O9" s="110"/>
    </row>
    <row r="10">
      <c r="A10" s="51" t="s">
        <v>219</v>
      </c>
      <c r="B10" s="52" t="s">
        <v>220</v>
      </c>
      <c r="C10" s="99" t="s">
        <v>224</v>
      </c>
      <c r="D10" s="101">
        <v>9.0</v>
      </c>
      <c r="E10" s="56">
        <f t="shared" si="1"/>
        <v>1</v>
      </c>
      <c r="F10" s="103">
        <f t="shared" si="2"/>
        <v>9</v>
      </c>
      <c r="G10" s="103">
        <f t="shared" si="3"/>
        <v>0</v>
      </c>
      <c r="H10" s="89">
        <f t="shared" si="4"/>
        <v>0</v>
      </c>
      <c r="I10" s="104">
        <v>1.0</v>
      </c>
      <c r="J10" s="111"/>
      <c r="K10" s="106">
        <v>0.1</v>
      </c>
      <c r="L10" s="149">
        <v>0.0</v>
      </c>
      <c r="M10" s="108"/>
      <c r="N10" s="109"/>
      <c r="O10" s="110"/>
    </row>
    <row r="11">
      <c r="A11" s="51" t="s">
        <v>219</v>
      </c>
      <c r="B11" s="52" t="s">
        <v>220</v>
      </c>
      <c r="C11" s="99" t="s">
        <v>225</v>
      </c>
      <c r="D11" s="101">
        <v>9.0</v>
      </c>
      <c r="E11" s="56">
        <f t="shared" si="1"/>
        <v>1</v>
      </c>
      <c r="F11" s="103">
        <f t="shared" si="2"/>
        <v>9</v>
      </c>
      <c r="G11" s="103">
        <f t="shared" si="3"/>
        <v>0</v>
      </c>
      <c r="H11" s="89">
        <f t="shared" si="4"/>
        <v>0</v>
      </c>
      <c r="I11" s="104">
        <v>1.0</v>
      </c>
      <c r="J11" s="111"/>
      <c r="K11" s="106">
        <v>0.1</v>
      </c>
      <c r="L11" s="149">
        <v>0.0</v>
      </c>
      <c r="M11" s="108"/>
      <c r="N11" s="109"/>
      <c r="O11" s="110"/>
    </row>
    <row r="12">
      <c r="A12" s="51" t="s">
        <v>219</v>
      </c>
      <c r="B12" s="52" t="s">
        <v>220</v>
      </c>
      <c r="C12" s="99" t="s">
        <v>226</v>
      </c>
      <c r="D12" s="101">
        <v>20.0</v>
      </c>
      <c r="E12" s="56">
        <f t="shared" si="1"/>
        <v>1</v>
      </c>
      <c r="F12" s="103">
        <f t="shared" si="2"/>
        <v>20</v>
      </c>
      <c r="G12" s="103">
        <f t="shared" si="3"/>
        <v>0</v>
      </c>
      <c r="H12" s="89">
        <f t="shared" si="4"/>
        <v>0</v>
      </c>
      <c r="I12" s="104">
        <v>1.0</v>
      </c>
      <c r="J12" s="111"/>
      <c r="K12" s="106">
        <v>0.1</v>
      </c>
      <c r="L12" s="149">
        <v>0.0</v>
      </c>
      <c r="M12" s="108"/>
      <c r="N12" s="109"/>
      <c r="O12" s="110"/>
    </row>
    <row r="13">
      <c r="A13" s="51" t="s">
        <v>219</v>
      </c>
      <c r="B13" s="52" t="s">
        <v>220</v>
      </c>
      <c r="C13" s="99" t="s">
        <v>227</v>
      </c>
      <c r="D13" s="101">
        <v>7.0</v>
      </c>
      <c r="E13" s="56">
        <f t="shared" si="1"/>
        <v>1</v>
      </c>
      <c r="F13" s="103">
        <f t="shared" si="2"/>
        <v>7</v>
      </c>
      <c r="G13" s="103">
        <f t="shared" si="3"/>
        <v>0</v>
      </c>
      <c r="H13" s="89">
        <f t="shared" si="4"/>
        <v>0</v>
      </c>
      <c r="I13" s="104">
        <v>1.0</v>
      </c>
      <c r="J13" s="111"/>
      <c r="K13" s="106">
        <v>0.1</v>
      </c>
      <c r="L13" s="149">
        <v>0.0</v>
      </c>
      <c r="M13" s="108"/>
      <c r="N13" s="109"/>
      <c r="O13" s="110"/>
    </row>
    <row r="14">
      <c r="A14" s="51" t="s">
        <v>219</v>
      </c>
      <c r="B14" s="52" t="s">
        <v>220</v>
      </c>
      <c r="C14" s="99" t="s">
        <v>228</v>
      </c>
      <c r="D14" s="101">
        <v>5.0</v>
      </c>
      <c r="E14" s="56">
        <f t="shared" si="1"/>
        <v>1</v>
      </c>
      <c r="F14" s="103">
        <f t="shared" si="2"/>
        <v>5</v>
      </c>
      <c r="G14" s="103">
        <f t="shared" si="3"/>
        <v>0</v>
      </c>
      <c r="H14" s="89">
        <f t="shared" si="4"/>
        <v>0</v>
      </c>
      <c r="I14" s="104">
        <v>1.0</v>
      </c>
      <c r="J14" s="111"/>
      <c r="K14" s="106">
        <v>0.1</v>
      </c>
      <c r="L14" s="149">
        <v>0.0</v>
      </c>
      <c r="M14" s="108"/>
      <c r="N14" s="109"/>
      <c r="O14" s="110"/>
    </row>
    <row r="15" hidden="1" outlineLevel="1">
      <c r="A15" s="51" t="s">
        <v>219</v>
      </c>
      <c r="B15" s="52" t="s">
        <v>220</v>
      </c>
      <c r="C15" s="99" t="s">
        <v>229</v>
      </c>
      <c r="D15" s="101">
        <v>9.0</v>
      </c>
      <c r="E15" s="56">
        <f t="shared" si="1"/>
        <v>1</v>
      </c>
      <c r="F15" s="103">
        <f t="shared" si="2"/>
        <v>9</v>
      </c>
      <c r="G15" s="103">
        <f t="shared" si="3"/>
        <v>0</v>
      </c>
      <c r="H15" s="89">
        <f t="shared" si="4"/>
        <v>0</v>
      </c>
      <c r="I15" s="104">
        <v>1.0</v>
      </c>
      <c r="J15" s="111"/>
      <c r="K15" s="106">
        <v>0.1</v>
      </c>
      <c r="L15" s="149">
        <v>0.0</v>
      </c>
      <c r="M15" s="108"/>
      <c r="N15" s="109"/>
      <c r="O15" s="110"/>
    </row>
    <row r="16" collapsed="1">
      <c r="A16" s="51" t="s">
        <v>219</v>
      </c>
      <c r="B16" s="52" t="s">
        <v>220</v>
      </c>
      <c r="C16" s="99" t="s">
        <v>230</v>
      </c>
      <c r="D16" s="101">
        <v>3.0</v>
      </c>
      <c r="E16" s="56">
        <f t="shared" si="1"/>
        <v>1</v>
      </c>
      <c r="F16" s="103">
        <f t="shared" si="2"/>
        <v>3</v>
      </c>
      <c r="G16" s="103">
        <f t="shared" si="3"/>
        <v>0</v>
      </c>
      <c r="H16" s="89">
        <f t="shared" si="4"/>
        <v>0</v>
      </c>
      <c r="I16" s="104">
        <v>1.0</v>
      </c>
      <c r="J16" s="111"/>
      <c r="K16" s="106">
        <v>0.1</v>
      </c>
      <c r="L16" s="149">
        <v>0.0</v>
      </c>
      <c r="M16" s="108"/>
      <c r="N16" s="109"/>
      <c r="O16" s="110"/>
    </row>
    <row r="17">
      <c r="A17" s="51" t="s">
        <v>219</v>
      </c>
      <c r="B17" s="52" t="s">
        <v>220</v>
      </c>
      <c r="C17" s="99" t="s">
        <v>231</v>
      </c>
      <c r="D17" s="101">
        <v>5.0</v>
      </c>
      <c r="E17" s="56">
        <f t="shared" si="1"/>
        <v>1</v>
      </c>
      <c r="F17" s="103">
        <f t="shared" si="2"/>
        <v>5</v>
      </c>
      <c r="G17" s="103">
        <f t="shared" si="3"/>
        <v>0</v>
      </c>
      <c r="H17" s="89">
        <f t="shared" si="4"/>
        <v>0</v>
      </c>
      <c r="I17" s="104">
        <v>1.0</v>
      </c>
      <c r="J17" s="111"/>
      <c r="K17" s="106">
        <v>0.1</v>
      </c>
      <c r="L17" s="149">
        <v>0.0</v>
      </c>
      <c r="M17" s="108"/>
      <c r="N17" s="109"/>
      <c r="O17" s="110"/>
    </row>
    <row r="18">
      <c r="A18" s="51" t="s">
        <v>219</v>
      </c>
      <c r="B18" s="52" t="s">
        <v>220</v>
      </c>
      <c r="C18" s="99" t="s">
        <v>232</v>
      </c>
      <c r="D18" s="101">
        <v>5.0</v>
      </c>
      <c r="E18" s="56">
        <f t="shared" si="1"/>
        <v>1</v>
      </c>
      <c r="F18" s="103">
        <f t="shared" si="2"/>
        <v>5</v>
      </c>
      <c r="G18" s="103">
        <f t="shared" si="3"/>
        <v>0</v>
      </c>
      <c r="H18" s="89">
        <f t="shared" si="4"/>
        <v>0</v>
      </c>
      <c r="I18" s="104">
        <v>1.0</v>
      </c>
      <c r="J18" s="111"/>
      <c r="K18" s="106">
        <v>0.1</v>
      </c>
      <c r="L18" s="149">
        <v>0.0</v>
      </c>
      <c r="M18" s="108"/>
      <c r="N18" s="109"/>
      <c r="O18" s="110"/>
    </row>
    <row r="19">
      <c r="A19" s="51" t="s">
        <v>219</v>
      </c>
      <c r="B19" s="52" t="s">
        <v>220</v>
      </c>
      <c r="C19" s="99" t="s">
        <v>233</v>
      </c>
      <c r="D19" s="101">
        <v>7.0</v>
      </c>
      <c r="E19" s="56">
        <f t="shared" si="1"/>
        <v>1</v>
      </c>
      <c r="F19" s="103">
        <f t="shared" si="2"/>
        <v>7</v>
      </c>
      <c r="G19" s="103">
        <f t="shared" si="3"/>
        <v>0</v>
      </c>
      <c r="H19" s="89">
        <f t="shared" si="4"/>
        <v>0</v>
      </c>
      <c r="I19" s="104">
        <v>1.0</v>
      </c>
      <c r="J19" s="111"/>
      <c r="K19" s="106">
        <v>0.1</v>
      </c>
      <c r="L19" s="149">
        <v>0.0</v>
      </c>
      <c r="M19" s="108"/>
      <c r="N19" s="109"/>
      <c r="O19" s="110"/>
    </row>
    <row r="20">
      <c r="A20" s="51" t="s">
        <v>219</v>
      </c>
      <c r="B20" s="52" t="s">
        <v>220</v>
      </c>
      <c r="C20" s="99" t="s">
        <v>234</v>
      </c>
      <c r="D20" s="101">
        <v>20.0</v>
      </c>
      <c r="E20" s="56">
        <f t="shared" si="1"/>
        <v>1</v>
      </c>
      <c r="F20" s="103">
        <f t="shared" si="2"/>
        <v>20</v>
      </c>
      <c r="G20" s="103">
        <f t="shared" si="3"/>
        <v>0</v>
      </c>
      <c r="H20" s="89">
        <f t="shared" si="4"/>
        <v>0</v>
      </c>
      <c r="I20" s="104">
        <v>1.0</v>
      </c>
      <c r="J20" s="111"/>
      <c r="K20" s="106">
        <v>0.1</v>
      </c>
      <c r="L20" s="149">
        <v>0.0</v>
      </c>
      <c r="M20" s="108"/>
      <c r="N20" s="109"/>
      <c r="O20" s="110"/>
    </row>
    <row r="21">
      <c r="A21" s="51" t="s">
        <v>219</v>
      </c>
      <c r="B21" s="52" t="s">
        <v>220</v>
      </c>
      <c r="C21" s="99" t="s">
        <v>235</v>
      </c>
      <c r="D21" s="101">
        <v>7.0</v>
      </c>
      <c r="E21" s="56">
        <f t="shared" si="1"/>
        <v>1</v>
      </c>
      <c r="F21" s="103">
        <f t="shared" si="2"/>
        <v>7</v>
      </c>
      <c r="G21" s="103">
        <f t="shared" si="3"/>
        <v>0</v>
      </c>
      <c r="H21" s="89">
        <f t="shared" si="4"/>
        <v>0</v>
      </c>
      <c r="I21" s="104">
        <v>1.0</v>
      </c>
      <c r="J21" s="111"/>
      <c r="K21" s="106">
        <v>0.1</v>
      </c>
      <c r="L21" s="149">
        <v>0.0</v>
      </c>
      <c r="M21" s="108"/>
      <c r="N21" s="109"/>
      <c r="O21" s="110"/>
    </row>
    <row r="22">
      <c r="A22" s="51" t="s">
        <v>219</v>
      </c>
      <c r="B22" s="52" t="s">
        <v>220</v>
      </c>
      <c r="C22" s="99" t="s">
        <v>236</v>
      </c>
      <c r="D22" s="101">
        <v>7.0</v>
      </c>
      <c r="E22" s="56">
        <f t="shared" si="1"/>
        <v>1</v>
      </c>
      <c r="F22" s="103">
        <f t="shared" si="2"/>
        <v>7</v>
      </c>
      <c r="G22" s="103">
        <f t="shared" si="3"/>
        <v>0</v>
      </c>
      <c r="H22" s="89">
        <f t="shared" si="4"/>
        <v>0</v>
      </c>
      <c r="I22" s="104">
        <v>1.0</v>
      </c>
      <c r="J22" s="111"/>
      <c r="K22" s="106">
        <v>0.1</v>
      </c>
      <c r="L22" s="149">
        <v>0.0</v>
      </c>
      <c r="M22" s="108"/>
      <c r="N22" s="109"/>
      <c r="O22" s="110"/>
    </row>
    <row r="23">
      <c r="A23" s="51" t="s">
        <v>219</v>
      </c>
      <c r="B23" s="52" t="s">
        <v>220</v>
      </c>
      <c r="C23" s="99" t="s">
        <v>237</v>
      </c>
      <c r="D23" s="101">
        <v>11.0</v>
      </c>
      <c r="E23" s="56">
        <f t="shared" si="1"/>
        <v>1</v>
      </c>
      <c r="F23" s="103">
        <f t="shared" si="2"/>
        <v>11</v>
      </c>
      <c r="G23" s="103">
        <f t="shared" si="3"/>
        <v>0</v>
      </c>
      <c r="H23" s="89">
        <f t="shared" si="4"/>
        <v>0</v>
      </c>
      <c r="I23" s="104">
        <v>1.0</v>
      </c>
      <c r="J23" s="111"/>
      <c r="K23" s="106">
        <v>0.1</v>
      </c>
      <c r="L23" s="149">
        <v>0.0</v>
      </c>
      <c r="M23" s="108"/>
      <c r="N23" s="109"/>
      <c r="O23" s="110"/>
    </row>
    <row r="24">
      <c r="A24" s="51" t="s">
        <v>219</v>
      </c>
      <c r="B24" s="52" t="s">
        <v>220</v>
      </c>
      <c r="C24" s="99" t="s">
        <v>238</v>
      </c>
      <c r="D24" s="101">
        <v>11.0</v>
      </c>
      <c r="E24" s="56">
        <f t="shared" si="1"/>
        <v>1</v>
      </c>
      <c r="F24" s="103">
        <f t="shared" si="2"/>
        <v>11</v>
      </c>
      <c r="G24" s="103">
        <f t="shared" si="3"/>
        <v>0</v>
      </c>
      <c r="H24" s="89">
        <f t="shared" si="4"/>
        <v>0</v>
      </c>
      <c r="I24" s="104">
        <v>1.0</v>
      </c>
      <c r="J24" s="111"/>
      <c r="K24" s="106">
        <v>0.1</v>
      </c>
      <c r="L24" s="149">
        <v>0.0</v>
      </c>
      <c r="M24" s="108"/>
      <c r="N24" s="109"/>
      <c r="O24" s="110"/>
    </row>
    <row r="25">
      <c r="A25" s="51" t="s">
        <v>219</v>
      </c>
      <c r="B25" s="52" t="s">
        <v>220</v>
      </c>
      <c r="C25" s="99" t="s">
        <v>239</v>
      </c>
      <c r="D25" s="101">
        <v>11.0</v>
      </c>
      <c r="E25" s="56">
        <f t="shared" si="1"/>
        <v>1</v>
      </c>
      <c r="F25" s="103">
        <f t="shared" si="2"/>
        <v>11</v>
      </c>
      <c r="G25" s="103">
        <f t="shared" si="3"/>
        <v>0</v>
      </c>
      <c r="H25" s="89">
        <f t="shared" si="4"/>
        <v>0</v>
      </c>
      <c r="I25" s="104">
        <v>1.0</v>
      </c>
      <c r="J25" s="111"/>
      <c r="K25" s="106">
        <v>0.1</v>
      </c>
      <c r="L25" s="149">
        <v>0.0</v>
      </c>
      <c r="M25" s="108"/>
      <c r="N25" s="109"/>
      <c r="O25" s="110"/>
    </row>
    <row r="26">
      <c r="A26" s="51" t="s">
        <v>219</v>
      </c>
      <c r="B26" s="52" t="s">
        <v>220</v>
      </c>
      <c r="C26" s="99" t="s">
        <v>240</v>
      </c>
      <c r="D26" s="101">
        <v>11.0</v>
      </c>
      <c r="E26" s="56">
        <f t="shared" si="1"/>
        <v>1</v>
      </c>
      <c r="F26" s="103">
        <f t="shared" si="2"/>
        <v>11</v>
      </c>
      <c r="G26" s="103">
        <f t="shared" si="3"/>
        <v>0</v>
      </c>
      <c r="H26" s="89">
        <f t="shared" si="4"/>
        <v>0</v>
      </c>
      <c r="I26" s="104">
        <v>1.0</v>
      </c>
      <c r="J26" s="111"/>
      <c r="K26" s="106">
        <v>0.1</v>
      </c>
      <c r="L26" s="149">
        <v>0.0</v>
      </c>
      <c r="M26" s="108"/>
      <c r="N26" s="109"/>
      <c r="O26" s="110"/>
    </row>
    <row r="27">
      <c r="A27" s="51" t="s">
        <v>219</v>
      </c>
      <c r="B27" s="52" t="s">
        <v>220</v>
      </c>
      <c r="C27" s="99" t="s">
        <v>241</v>
      </c>
      <c r="D27" s="101">
        <v>4.0</v>
      </c>
      <c r="E27" s="56">
        <f t="shared" si="1"/>
        <v>1</v>
      </c>
      <c r="F27" s="103">
        <f t="shared" si="2"/>
        <v>4</v>
      </c>
      <c r="G27" s="103">
        <f t="shared" si="3"/>
        <v>0</v>
      </c>
      <c r="H27" s="89">
        <f t="shared" si="4"/>
        <v>0</v>
      </c>
      <c r="I27" s="104">
        <v>1.0</v>
      </c>
      <c r="J27" s="111"/>
      <c r="K27" s="106">
        <v>0.1</v>
      </c>
      <c r="L27" s="149">
        <v>0.0</v>
      </c>
      <c r="M27" s="108"/>
      <c r="N27" s="109"/>
      <c r="O27" s="110"/>
    </row>
    <row r="28">
      <c r="A28" s="51" t="s">
        <v>219</v>
      </c>
      <c r="B28" s="52" t="s">
        <v>220</v>
      </c>
      <c r="C28" s="99" t="s">
        <v>242</v>
      </c>
      <c r="D28" s="101">
        <v>11.0</v>
      </c>
      <c r="E28" s="56">
        <f t="shared" si="1"/>
        <v>1</v>
      </c>
      <c r="F28" s="103">
        <f t="shared" si="2"/>
        <v>11</v>
      </c>
      <c r="G28" s="103">
        <f t="shared" si="3"/>
        <v>0</v>
      </c>
      <c r="H28" s="89">
        <f t="shared" si="4"/>
        <v>0</v>
      </c>
      <c r="I28" s="104">
        <v>1.0</v>
      </c>
      <c r="J28" s="111"/>
      <c r="K28" s="106">
        <v>0.1</v>
      </c>
      <c r="L28" s="149">
        <v>0.0</v>
      </c>
      <c r="M28" s="108"/>
      <c r="N28" s="109"/>
      <c r="O28" s="110"/>
    </row>
    <row r="29">
      <c r="A29" s="159" t="s">
        <v>219</v>
      </c>
      <c r="B29" s="160" t="s">
        <v>220</v>
      </c>
      <c r="C29" s="114" t="s">
        <v>243</v>
      </c>
      <c r="D29" s="116">
        <v>5.0</v>
      </c>
      <c r="E29" s="161">
        <f t="shared" si="1"/>
        <v>1</v>
      </c>
      <c r="F29" s="118">
        <f t="shared" si="2"/>
        <v>5</v>
      </c>
      <c r="G29" s="118">
        <f t="shared" si="3"/>
        <v>0</v>
      </c>
      <c r="H29" s="119">
        <f t="shared" si="4"/>
        <v>0</v>
      </c>
      <c r="I29" s="120">
        <v>1.0</v>
      </c>
      <c r="J29" s="121"/>
      <c r="K29" s="122">
        <v>0.1</v>
      </c>
      <c r="L29" s="154">
        <v>0.0</v>
      </c>
      <c r="M29" s="124"/>
      <c r="N29" s="125"/>
      <c r="O29" s="126"/>
    </row>
    <row r="30">
      <c r="A30" s="51" t="s">
        <v>244</v>
      </c>
      <c r="B30" s="52" t="s">
        <v>245</v>
      </c>
      <c r="C30" s="99" t="s">
        <v>228</v>
      </c>
      <c r="D30" s="101">
        <v>3.5</v>
      </c>
      <c r="E30" s="56">
        <f t="shared" si="1"/>
        <v>1</v>
      </c>
      <c r="F30" s="103">
        <f t="shared" si="2"/>
        <v>3.5</v>
      </c>
      <c r="G30" s="103">
        <f t="shared" si="3"/>
        <v>0</v>
      </c>
      <c r="H30" s="89">
        <f t="shared" si="4"/>
        <v>0</v>
      </c>
      <c r="I30" s="104">
        <v>1.0</v>
      </c>
      <c r="J30" s="111"/>
      <c r="K30" s="106">
        <v>0.1</v>
      </c>
      <c r="L30" s="149">
        <v>0.0</v>
      </c>
      <c r="M30" s="108"/>
      <c r="N30" s="109"/>
      <c r="O30" s="110"/>
    </row>
    <row r="31">
      <c r="A31" s="51" t="s">
        <v>244</v>
      </c>
      <c r="B31" s="52"/>
      <c r="C31" s="142" t="s">
        <v>246</v>
      </c>
      <c r="D31" s="101">
        <v>3.0</v>
      </c>
      <c r="E31" s="56">
        <f t="shared" si="1"/>
        <v>1</v>
      </c>
      <c r="F31" s="103">
        <f t="shared" si="2"/>
        <v>3</v>
      </c>
      <c r="G31" s="103">
        <f t="shared" si="3"/>
        <v>0</v>
      </c>
      <c r="H31" s="89">
        <f t="shared" si="4"/>
        <v>0</v>
      </c>
      <c r="I31" s="104">
        <v>1.0</v>
      </c>
      <c r="J31" s="111"/>
      <c r="K31" s="106">
        <v>0.1</v>
      </c>
      <c r="L31" s="149">
        <v>0.0</v>
      </c>
      <c r="M31" s="108"/>
      <c r="N31" s="109"/>
      <c r="O31" s="110"/>
    </row>
    <row r="32">
      <c r="A32" s="51" t="s">
        <v>244</v>
      </c>
      <c r="B32" s="52"/>
      <c r="C32" s="142" t="s">
        <v>247</v>
      </c>
      <c r="D32" s="101">
        <v>1.5</v>
      </c>
      <c r="E32" s="56">
        <f t="shared" si="1"/>
        <v>1</v>
      </c>
      <c r="F32" s="103">
        <f t="shared" si="2"/>
        <v>1.5</v>
      </c>
      <c r="G32" s="103">
        <f t="shared" si="3"/>
        <v>0</v>
      </c>
      <c r="H32" s="89">
        <f t="shared" si="4"/>
        <v>0</v>
      </c>
      <c r="I32" s="104">
        <v>1.0</v>
      </c>
      <c r="J32" s="111"/>
      <c r="K32" s="106">
        <v>0.1</v>
      </c>
      <c r="L32" s="149">
        <v>0.0</v>
      </c>
      <c r="M32" s="108"/>
      <c r="N32" s="109"/>
      <c r="O32" s="110"/>
    </row>
    <row r="33" hidden="1" outlineLevel="1">
      <c r="A33" s="51" t="s">
        <v>244</v>
      </c>
      <c r="B33" s="52" t="s">
        <v>245</v>
      </c>
      <c r="C33" s="53" t="s">
        <v>248</v>
      </c>
      <c r="D33" s="55">
        <v>3.5</v>
      </c>
      <c r="E33" s="56">
        <f t="shared" si="1"/>
        <v>1</v>
      </c>
      <c r="F33" s="57">
        <f t="shared" si="2"/>
        <v>3.5</v>
      </c>
      <c r="G33" s="57">
        <f t="shared" si="3"/>
        <v>0</v>
      </c>
      <c r="H33" s="58">
        <f t="shared" si="4"/>
        <v>0</v>
      </c>
      <c r="I33" s="59">
        <v>1.0</v>
      </c>
      <c r="J33" s="60"/>
      <c r="K33" s="61">
        <v>0.1</v>
      </c>
      <c r="L33" s="162">
        <v>0.0</v>
      </c>
      <c r="M33" s="63"/>
      <c r="N33" s="64"/>
      <c r="O33" s="65"/>
    </row>
    <row r="34" collapsed="1">
      <c r="A34" s="51" t="s">
        <v>244</v>
      </c>
      <c r="B34" s="52" t="s">
        <v>245</v>
      </c>
      <c r="C34" s="53" t="s">
        <v>249</v>
      </c>
      <c r="D34" s="55">
        <v>1.5</v>
      </c>
      <c r="E34" s="56">
        <f t="shared" si="1"/>
        <v>1</v>
      </c>
      <c r="F34" s="103">
        <f t="shared" si="2"/>
        <v>1.5</v>
      </c>
      <c r="G34" s="103">
        <f t="shared" si="3"/>
        <v>0</v>
      </c>
      <c r="H34" s="89">
        <f t="shared" si="4"/>
        <v>0</v>
      </c>
      <c r="I34" s="104">
        <v>1.0</v>
      </c>
      <c r="J34" s="111"/>
      <c r="K34" s="106">
        <v>0.1</v>
      </c>
      <c r="L34" s="149">
        <v>0.0</v>
      </c>
      <c r="M34" s="108"/>
      <c r="N34" s="109"/>
      <c r="O34" s="110" t="s">
        <v>250</v>
      </c>
    </row>
    <row r="35">
      <c r="A35" s="51" t="s">
        <v>244</v>
      </c>
      <c r="B35" s="52"/>
      <c r="C35" s="142" t="s">
        <v>251</v>
      </c>
      <c r="D35" s="101">
        <v>1.0</v>
      </c>
      <c r="E35" s="56">
        <f t="shared" si="1"/>
        <v>1</v>
      </c>
      <c r="F35" s="103">
        <f t="shared" si="2"/>
        <v>1</v>
      </c>
      <c r="G35" s="103">
        <f t="shared" si="3"/>
        <v>0</v>
      </c>
      <c r="H35" s="89">
        <f t="shared" si="4"/>
        <v>0</v>
      </c>
      <c r="I35" s="104">
        <v>1.0</v>
      </c>
      <c r="J35" s="111"/>
      <c r="K35" s="106">
        <v>0.1</v>
      </c>
      <c r="L35" s="149">
        <v>0.0</v>
      </c>
      <c r="M35" s="108"/>
      <c r="N35" s="109"/>
      <c r="O35" s="110"/>
    </row>
    <row r="36">
      <c r="A36" s="51" t="s">
        <v>244</v>
      </c>
      <c r="B36" s="52" t="s">
        <v>252</v>
      </c>
      <c r="C36" s="99" t="s">
        <v>253</v>
      </c>
      <c r="D36" s="101">
        <v>4.0</v>
      </c>
      <c r="E36" s="56">
        <f t="shared" si="1"/>
        <v>1</v>
      </c>
      <c r="F36" s="103">
        <f t="shared" si="2"/>
        <v>4</v>
      </c>
      <c r="G36" s="103">
        <f t="shared" si="3"/>
        <v>0</v>
      </c>
      <c r="H36" s="89">
        <f t="shared" si="4"/>
        <v>0</v>
      </c>
      <c r="I36" s="104">
        <v>1.0</v>
      </c>
      <c r="J36" s="111"/>
      <c r="K36" s="106">
        <v>0.1</v>
      </c>
      <c r="L36" s="149">
        <v>0.0</v>
      </c>
      <c r="M36" s="108"/>
      <c r="N36" s="109"/>
      <c r="O36" s="110"/>
    </row>
    <row r="37">
      <c r="A37" s="51" t="s">
        <v>244</v>
      </c>
      <c r="B37" s="52"/>
      <c r="C37" s="142" t="s">
        <v>254</v>
      </c>
      <c r="D37" s="101">
        <v>3.0</v>
      </c>
      <c r="E37" s="56">
        <f t="shared" si="1"/>
        <v>1</v>
      </c>
      <c r="F37" s="103">
        <f t="shared" si="2"/>
        <v>3</v>
      </c>
      <c r="G37" s="103">
        <f t="shared" si="3"/>
        <v>0</v>
      </c>
      <c r="H37" s="89">
        <f t="shared" si="4"/>
        <v>0</v>
      </c>
      <c r="I37" s="104">
        <v>1.0</v>
      </c>
      <c r="J37" s="111"/>
      <c r="K37" s="106">
        <v>0.1</v>
      </c>
      <c r="L37" s="149">
        <v>0.0</v>
      </c>
      <c r="M37" s="108"/>
      <c r="N37" s="109"/>
      <c r="O37" s="110"/>
    </row>
    <row r="38">
      <c r="A38" s="51" t="s">
        <v>244</v>
      </c>
      <c r="B38" s="52"/>
      <c r="C38" s="142" t="s">
        <v>255</v>
      </c>
      <c r="D38" s="101">
        <v>2.0</v>
      </c>
      <c r="E38" s="56">
        <f t="shared" si="1"/>
        <v>1</v>
      </c>
      <c r="F38" s="103">
        <f t="shared" si="2"/>
        <v>2</v>
      </c>
      <c r="G38" s="103">
        <f t="shared" si="3"/>
        <v>0</v>
      </c>
      <c r="H38" s="89">
        <f t="shared" si="4"/>
        <v>0</v>
      </c>
      <c r="I38" s="104">
        <v>1.0</v>
      </c>
      <c r="J38" s="111"/>
      <c r="K38" s="106">
        <v>0.1</v>
      </c>
      <c r="L38" s="149">
        <v>0.0</v>
      </c>
      <c r="M38" s="108"/>
      <c r="N38" s="109"/>
      <c r="O38" s="110"/>
    </row>
    <row r="39">
      <c r="A39" s="51" t="s">
        <v>244</v>
      </c>
      <c r="B39" s="52" t="s">
        <v>245</v>
      </c>
      <c r="C39" s="99" t="s">
        <v>224</v>
      </c>
      <c r="D39" s="101">
        <v>4.0</v>
      </c>
      <c r="E39" s="56">
        <f t="shared" si="1"/>
        <v>1</v>
      </c>
      <c r="F39" s="103">
        <f t="shared" si="2"/>
        <v>4</v>
      </c>
      <c r="G39" s="103">
        <f t="shared" si="3"/>
        <v>0</v>
      </c>
      <c r="H39" s="89">
        <f t="shared" si="4"/>
        <v>0</v>
      </c>
      <c r="I39" s="104">
        <v>1.0</v>
      </c>
      <c r="J39" s="111"/>
      <c r="K39" s="106">
        <v>0.1</v>
      </c>
      <c r="L39" s="149">
        <v>0.0</v>
      </c>
      <c r="M39" s="108"/>
      <c r="N39" s="109"/>
      <c r="O39" s="110"/>
    </row>
    <row r="40">
      <c r="A40" s="51" t="s">
        <v>244</v>
      </c>
      <c r="B40" s="52"/>
      <c r="C40" s="142" t="s">
        <v>256</v>
      </c>
      <c r="D40" s="101">
        <v>3.0</v>
      </c>
      <c r="E40" s="56">
        <f t="shared" si="1"/>
        <v>1</v>
      </c>
      <c r="F40" s="103">
        <f t="shared" si="2"/>
        <v>3</v>
      </c>
      <c r="G40" s="103">
        <f t="shared" si="3"/>
        <v>0</v>
      </c>
      <c r="H40" s="89">
        <f t="shared" si="4"/>
        <v>0</v>
      </c>
      <c r="I40" s="104">
        <v>1.0</v>
      </c>
      <c r="J40" s="111"/>
      <c r="K40" s="106">
        <v>0.1</v>
      </c>
      <c r="L40" s="149">
        <v>0.0</v>
      </c>
      <c r="M40" s="108"/>
      <c r="N40" s="109"/>
      <c r="O40" s="110"/>
    </row>
    <row r="41">
      <c r="A41" s="51" t="s">
        <v>244</v>
      </c>
      <c r="B41" s="52"/>
      <c r="C41" s="142" t="s">
        <v>257</v>
      </c>
      <c r="D41" s="101">
        <v>2.0</v>
      </c>
      <c r="E41" s="56">
        <f t="shared" si="1"/>
        <v>1</v>
      </c>
      <c r="F41" s="103">
        <f t="shared" si="2"/>
        <v>2</v>
      </c>
      <c r="G41" s="103">
        <f t="shared" si="3"/>
        <v>0</v>
      </c>
      <c r="H41" s="89">
        <f t="shared" si="4"/>
        <v>0</v>
      </c>
      <c r="I41" s="104">
        <v>1.0</v>
      </c>
      <c r="J41" s="111"/>
      <c r="K41" s="106">
        <v>0.1</v>
      </c>
      <c r="L41" s="149">
        <v>0.0</v>
      </c>
      <c r="M41" s="108"/>
      <c r="N41" s="109"/>
      <c r="O41" s="110"/>
    </row>
    <row r="42">
      <c r="A42" s="51" t="s">
        <v>244</v>
      </c>
      <c r="B42" s="52" t="s">
        <v>252</v>
      </c>
      <c r="C42" s="99" t="s">
        <v>258</v>
      </c>
      <c r="D42" s="101">
        <v>4.0</v>
      </c>
      <c r="E42" s="56">
        <f t="shared" si="1"/>
        <v>1</v>
      </c>
      <c r="F42" s="103">
        <f t="shared" si="2"/>
        <v>4</v>
      </c>
      <c r="G42" s="103">
        <f t="shared" si="3"/>
        <v>0</v>
      </c>
      <c r="H42" s="89">
        <f t="shared" si="4"/>
        <v>0</v>
      </c>
      <c r="I42" s="104">
        <v>1.0</v>
      </c>
      <c r="J42" s="111"/>
      <c r="K42" s="106">
        <v>0.1</v>
      </c>
      <c r="L42" s="149">
        <v>0.0</v>
      </c>
      <c r="M42" s="108"/>
      <c r="N42" s="109"/>
      <c r="O42" s="110"/>
    </row>
    <row r="43">
      <c r="A43" s="51" t="s">
        <v>244</v>
      </c>
      <c r="B43" s="52"/>
      <c r="C43" s="142" t="s">
        <v>259</v>
      </c>
      <c r="D43" s="101">
        <v>3.0</v>
      </c>
      <c r="E43" s="56">
        <f t="shared" si="1"/>
        <v>1</v>
      </c>
      <c r="F43" s="103">
        <f t="shared" si="2"/>
        <v>3</v>
      </c>
      <c r="G43" s="103">
        <f t="shared" si="3"/>
        <v>0</v>
      </c>
      <c r="H43" s="89">
        <f t="shared" si="4"/>
        <v>0</v>
      </c>
      <c r="I43" s="104">
        <v>1.0</v>
      </c>
      <c r="J43" s="111"/>
      <c r="K43" s="106">
        <v>0.1</v>
      </c>
      <c r="L43" s="149">
        <v>0.0</v>
      </c>
      <c r="M43" s="108"/>
      <c r="N43" s="109"/>
      <c r="O43" s="110"/>
    </row>
    <row r="44">
      <c r="A44" s="51" t="s">
        <v>244</v>
      </c>
      <c r="B44" s="52"/>
      <c r="C44" s="142" t="s">
        <v>260</v>
      </c>
      <c r="D44" s="101">
        <v>2.0</v>
      </c>
      <c r="E44" s="56">
        <f t="shared" si="1"/>
        <v>1</v>
      </c>
      <c r="F44" s="103">
        <f t="shared" si="2"/>
        <v>2</v>
      </c>
      <c r="G44" s="103">
        <f t="shared" si="3"/>
        <v>0</v>
      </c>
      <c r="H44" s="89">
        <f t="shared" si="4"/>
        <v>0</v>
      </c>
      <c r="I44" s="104">
        <v>1.0</v>
      </c>
      <c r="J44" s="111"/>
      <c r="K44" s="106">
        <v>0.1</v>
      </c>
      <c r="L44" s="149">
        <v>0.0</v>
      </c>
      <c r="M44" s="108"/>
      <c r="N44" s="109"/>
      <c r="O44" s="110"/>
    </row>
    <row r="45">
      <c r="A45" s="51" t="s">
        <v>244</v>
      </c>
      <c r="B45" s="52" t="s">
        <v>245</v>
      </c>
      <c r="C45" s="99" t="s">
        <v>261</v>
      </c>
      <c r="D45" s="101">
        <v>4.0</v>
      </c>
      <c r="E45" s="56">
        <f t="shared" si="1"/>
        <v>1</v>
      </c>
      <c r="F45" s="103">
        <f t="shared" si="2"/>
        <v>4</v>
      </c>
      <c r="G45" s="103">
        <f t="shared" si="3"/>
        <v>0</v>
      </c>
      <c r="H45" s="89">
        <f t="shared" si="4"/>
        <v>0</v>
      </c>
      <c r="I45" s="104">
        <v>1.0</v>
      </c>
      <c r="J45" s="111"/>
      <c r="K45" s="106">
        <v>0.1</v>
      </c>
      <c r="L45" s="149">
        <v>0.0</v>
      </c>
      <c r="M45" s="108"/>
      <c r="N45" s="109"/>
      <c r="O45" s="110"/>
    </row>
    <row r="46">
      <c r="A46" s="51" t="s">
        <v>244</v>
      </c>
      <c r="B46" s="52" t="s">
        <v>252</v>
      </c>
      <c r="C46" s="99" t="s">
        <v>262</v>
      </c>
      <c r="D46" s="101">
        <v>5.0</v>
      </c>
      <c r="E46" s="56">
        <f t="shared" si="1"/>
        <v>1</v>
      </c>
      <c r="F46" s="103">
        <f t="shared" si="2"/>
        <v>5</v>
      </c>
      <c r="G46" s="103">
        <f t="shared" si="3"/>
        <v>0</v>
      </c>
      <c r="H46" s="89">
        <f t="shared" si="4"/>
        <v>0</v>
      </c>
      <c r="I46" s="104">
        <v>1.0</v>
      </c>
      <c r="J46" s="111"/>
      <c r="K46" s="106">
        <v>0.1</v>
      </c>
      <c r="L46" s="149">
        <v>0.0</v>
      </c>
      <c r="M46" s="108"/>
      <c r="N46" s="109"/>
      <c r="O46" s="110"/>
    </row>
    <row r="47">
      <c r="A47" s="51" t="s">
        <v>244</v>
      </c>
      <c r="B47" s="52"/>
      <c r="C47" s="142" t="s">
        <v>263</v>
      </c>
      <c r="D47" s="101">
        <v>4.0</v>
      </c>
      <c r="E47" s="56">
        <f t="shared" si="1"/>
        <v>1</v>
      </c>
      <c r="F47" s="103">
        <f t="shared" si="2"/>
        <v>4</v>
      </c>
      <c r="G47" s="103">
        <f t="shared" si="3"/>
        <v>0</v>
      </c>
      <c r="H47" s="89">
        <f t="shared" si="4"/>
        <v>0</v>
      </c>
      <c r="I47" s="104">
        <v>1.0</v>
      </c>
      <c r="J47" s="111"/>
      <c r="K47" s="106">
        <v>0.1</v>
      </c>
      <c r="L47" s="149">
        <v>0.0</v>
      </c>
      <c r="M47" s="108"/>
      <c r="N47" s="109"/>
      <c r="O47" s="110"/>
    </row>
    <row r="48">
      <c r="A48" s="51" t="s">
        <v>244</v>
      </c>
      <c r="B48" s="52"/>
      <c r="C48" s="142" t="s">
        <v>264</v>
      </c>
      <c r="D48" s="101">
        <v>3.0</v>
      </c>
      <c r="E48" s="56">
        <f t="shared" si="1"/>
        <v>1</v>
      </c>
      <c r="F48" s="103">
        <f t="shared" si="2"/>
        <v>3</v>
      </c>
      <c r="G48" s="103">
        <f t="shared" si="3"/>
        <v>0</v>
      </c>
      <c r="H48" s="89">
        <f t="shared" si="4"/>
        <v>0</v>
      </c>
      <c r="I48" s="104">
        <v>1.0</v>
      </c>
      <c r="J48" s="111"/>
      <c r="K48" s="106">
        <v>0.1</v>
      </c>
      <c r="L48" s="149">
        <v>0.0</v>
      </c>
      <c r="M48" s="108"/>
      <c r="N48" s="109"/>
      <c r="O48" s="110"/>
    </row>
    <row r="49">
      <c r="A49" s="51" t="s">
        <v>244</v>
      </c>
      <c r="B49" s="52" t="s">
        <v>245</v>
      </c>
      <c r="C49" s="99" t="s">
        <v>233</v>
      </c>
      <c r="D49" s="101">
        <v>4.0</v>
      </c>
      <c r="E49" s="56">
        <f t="shared" si="1"/>
        <v>1</v>
      </c>
      <c r="F49" s="103">
        <f t="shared" si="2"/>
        <v>4</v>
      </c>
      <c r="G49" s="103">
        <f t="shared" si="3"/>
        <v>0</v>
      </c>
      <c r="H49" s="89">
        <f t="shared" si="4"/>
        <v>0</v>
      </c>
      <c r="I49" s="104">
        <v>1.0</v>
      </c>
      <c r="J49" s="111"/>
      <c r="K49" s="106">
        <v>0.1</v>
      </c>
      <c r="L49" s="149">
        <v>0.0</v>
      </c>
      <c r="M49" s="108"/>
      <c r="N49" s="109"/>
      <c r="O49" s="110"/>
    </row>
    <row r="50">
      <c r="A50" s="51" t="s">
        <v>244</v>
      </c>
      <c r="B50" s="52"/>
      <c r="C50" s="142" t="s">
        <v>265</v>
      </c>
      <c r="D50" s="101">
        <v>3.0</v>
      </c>
      <c r="E50" s="56">
        <f t="shared" si="1"/>
        <v>1</v>
      </c>
      <c r="F50" s="103">
        <f t="shared" si="2"/>
        <v>3</v>
      </c>
      <c r="G50" s="103">
        <f t="shared" si="3"/>
        <v>0</v>
      </c>
      <c r="H50" s="89">
        <f t="shared" si="4"/>
        <v>0</v>
      </c>
      <c r="I50" s="104">
        <v>1.0</v>
      </c>
      <c r="J50" s="111"/>
      <c r="K50" s="106">
        <v>0.1</v>
      </c>
      <c r="L50" s="149">
        <v>0.0</v>
      </c>
      <c r="M50" s="108"/>
      <c r="N50" s="109"/>
      <c r="O50" s="110"/>
    </row>
    <row r="51">
      <c r="A51" s="51" t="s">
        <v>244</v>
      </c>
      <c r="B51" s="52"/>
      <c r="C51" s="142" t="s">
        <v>266</v>
      </c>
      <c r="D51" s="101">
        <v>2.0</v>
      </c>
      <c r="E51" s="56">
        <f t="shared" si="1"/>
        <v>1</v>
      </c>
      <c r="F51" s="103">
        <f t="shared" si="2"/>
        <v>2</v>
      </c>
      <c r="G51" s="103">
        <f t="shared" si="3"/>
        <v>0</v>
      </c>
      <c r="H51" s="89">
        <f t="shared" si="4"/>
        <v>0</v>
      </c>
      <c r="I51" s="104">
        <v>1.0</v>
      </c>
      <c r="J51" s="111"/>
      <c r="K51" s="106">
        <v>0.1</v>
      </c>
      <c r="L51" s="149">
        <v>0.0</v>
      </c>
      <c r="M51" s="108"/>
      <c r="N51" s="109"/>
      <c r="O51" s="110"/>
    </row>
    <row r="52">
      <c r="A52" s="51" t="s">
        <v>244</v>
      </c>
      <c r="B52" s="52" t="s">
        <v>245</v>
      </c>
      <c r="C52" s="99" t="s">
        <v>267</v>
      </c>
      <c r="D52" s="101">
        <v>4.0</v>
      </c>
      <c r="E52" s="56">
        <f t="shared" si="1"/>
        <v>1</v>
      </c>
      <c r="F52" s="103">
        <f t="shared" si="2"/>
        <v>4</v>
      </c>
      <c r="G52" s="103">
        <f t="shared" si="3"/>
        <v>0</v>
      </c>
      <c r="H52" s="89">
        <f t="shared" si="4"/>
        <v>0</v>
      </c>
      <c r="I52" s="104">
        <v>1.0</v>
      </c>
      <c r="J52" s="111"/>
      <c r="K52" s="106">
        <v>0.1</v>
      </c>
      <c r="L52" s="149">
        <v>0.0</v>
      </c>
      <c r="M52" s="108"/>
      <c r="N52" s="109"/>
      <c r="O52" s="110"/>
    </row>
    <row r="53">
      <c r="A53" s="51" t="s">
        <v>244</v>
      </c>
      <c r="B53" s="52"/>
      <c r="C53" s="142" t="s">
        <v>268</v>
      </c>
      <c r="D53" s="101">
        <v>3.0</v>
      </c>
      <c r="E53" s="56">
        <f t="shared" si="1"/>
        <v>1</v>
      </c>
      <c r="F53" s="103">
        <f t="shared" si="2"/>
        <v>3</v>
      </c>
      <c r="G53" s="103">
        <f t="shared" si="3"/>
        <v>0</v>
      </c>
      <c r="H53" s="89">
        <f t="shared" si="4"/>
        <v>0</v>
      </c>
      <c r="I53" s="104">
        <v>1.0</v>
      </c>
      <c r="J53" s="111"/>
      <c r="K53" s="106">
        <v>0.1</v>
      </c>
      <c r="L53" s="149">
        <v>0.0</v>
      </c>
      <c r="M53" s="108"/>
      <c r="N53" s="109"/>
      <c r="O53" s="110"/>
    </row>
    <row r="54">
      <c r="A54" s="51" t="s">
        <v>244</v>
      </c>
      <c r="B54" s="52"/>
      <c r="C54" s="142" t="s">
        <v>269</v>
      </c>
      <c r="D54" s="101">
        <v>2.0</v>
      </c>
      <c r="E54" s="56">
        <f t="shared" si="1"/>
        <v>1</v>
      </c>
      <c r="F54" s="103">
        <f t="shared" si="2"/>
        <v>2</v>
      </c>
      <c r="G54" s="103">
        <f t="shared" si="3"/>
        <v>0</v>
      </c>
      <c r="H54" s="89">
        <f t="shared" si="4"/>
        <v>0</v>
      </c>
      <c r="I54" s="104">
        <v>1.0</v>
      </c>
      <c r="J54" s="111"/>
      <c r="K54" s="106">
        <v>0.1</v>
      </c>
      <c r="L54" s="149">
        <v>0.0</v>
      </c>
      <c r="M54" s="108"/>
      <c r="N54" s="109"/>
      <c r="O54" s="110"/>
    </row>
    <row r="55">
      <c r="A55" s="51" t="s">
        <v>244</v>
      </c>
      <c r="B55" s="52" t="s">
        <v>252</v>
      </c>
      <c r="C55" s="99" t="s">
        <v>270</v>
      </c>
      <c r="D55" s="101">
        <v>5.0</v>
      </c>
      <c r="E55" s="56">
        <f t="shared" si="1"/>
        <v>1</v>
      </c>
      <c r="F55" s="103">
        <f t="shared" si="2"/>
        <v>5</v>
      </c>
      <c r="G55" s="103">
        <f t="shared" si="3"/>
        <v>0</v>
      </c>
      <c r="H55" s="89">
        <f t="shared" si="4"/>
        <v>0</v>
      </c>
      <c r="I55" s="104">
        <v>1.0</v>
      </c>
      <c r="J55" s="111"/>
      <c r="K55" s="106">
        <v>0.1</v>
      </c>
      <c r="L55" s="149">
        <v>0.0</v>
      </c>
      <c r="M55" s="108"/>
      <c r="N55" s="109"/>
      <c r="O55" s="110"/>
    </row>
    <row r="56">
      <c r="A56" s="51" t="s">
        <v>244</v>
      </c>
      <c r="B56" s="52"/>
      <c r="C56" s="142" t="s">
        <v>271</v>
      </c>
      <c r="D56" s="101">
        <v>4.0</v>
      </c>
      <c r="E56" s="56">
        <f t="shared" si="1"/>
        <v>1</v>
      </c>
      <c r="F56" s="103">
        <f t="shared" si="2"/>
        <v>4</v>
      </c>
      <c r="G56" s="103">
        <f t="shared" si="3"/>
        <v>0</v>
      </c>
      <c r="H56" s="89">
        <f t="shared" si="4"/>
        <v>0</v>
      </c>
      <c r="I56" s="104">
        <v>1.0</v>
      </c>
      <c r="J56" s="111"/>
      <c r="K56" s="106">
        <v>0.1</v>
      </c>
      <c r="L56" s="149">
        <v>0.0</v>
      </c>
      <c r="M56" s="108"/>
      <c r="N56" s="109"/>
      <c r="O56" s="110"/>
    </row>
    <row r="57">
      <c r="A57" s="51" t="s">
        <v>244</v>
      </c>
      <c r="B57" s="52"/>
      <c r="C57" s="142" t="s">
        <v>272</v>
      </c>
      <c r="D57" s="101">
        <v>3.0</v>
      </c>
      <c r="E57" s="56">
        <f t="shared" si="1"/>
        <v>1</v>
      </c>
      <c r="F57" s="103">
        <f t="shared" si="2"/>
        <v>3</v>
      </c>
      <c r="G57" s="103">
        <f t="shared" si="3"/>
        <v>0</v>
      </c>
      <c r="H57" s="89">
        <f t="shared" si="4"/>
        <v>0</v>
      </c>
      <c r="I57" s="104">
        <v>1.0</v>
      </c>
      <c r="J57" s="111"/>
      <c r="K57" s="106">
        <v>0.1</v>
      </c>
      <c r="L57" s="149">
        <v>0.0</v>
      </c>
      <c r="M57" s="108"/>
      <c r="N57" s="109"/>
      <c r="O57" s="110"/>
    </row>
    <row r="58">
      <c r="A58" s="51" t="s">
        <v>244</v>
      </c>
      <c r="B58" s="52" t="s">
        <v>245</v>
      </c>
      <c r="C58" s="99" t="s">
        <v>273</v>
      </c>
      <c r="D58" s="101">
        <v>5.0</v>
      </c>
      <c r="E58" s="56">
        <f t="shared" si="1"/>
        <v>1</v>
      </c>
      <c r="F58" s="103">
        <f t="shared" si="2"/>
        <v>5</v>
      </c>
      <c r="G58" s="103">
        <f t="shared" si="3"/>
        <v>0</v>
      </c>
      <c r="H58" s="89">
        <f t="shared" si="4"/>
        <v>0</v>
      </c>
      <c r="I58" s="104">
        <v>1.0</v>
      </c>
      <c r="J58" s="111"/>
      <c r="K58" s="106">
        <v>0.1</v>
      </c>
      <c r="L58" s="149">
        <v>0.0</v>
      </c>
      <c r="M58" s="108"/>
      <c r="N58" s="109"/>
      <c r="O58" s="110"/>
    </row>
    <row r="59">
      <c r="A59" s="51" t="s">
        <v>244</v>
      </c>
      <c r="B59" s="52"/>
      <c r="C59" s="142" t="s">
        <v>274</v>
      </c>
      <c r="D59" s="55">
        <v>3.5</v>
      </c>
      <c r="E59" s="56">
        <f t="shared" si="1"/>
        <v>1</v>
      </c>
      <c r="F59" s="57">
        <f t="shared" si="2"/>
        <v>3.5</v>
      </c>
      <c r="G59" s="57">
        <f t="shared" si="3"/>
        <v>0</v>
      </c>
      <c r="H59" s="58">
        <f t="shared" si="4"/>
        <v>0</v>
      </c>
      <c r="I59" s="59">
        <v>1.0</v>
      </c>
      <c r="J59" s="60"/>
      <c r="K59" s="61">
        <v>0.1</v>
      </c>
      <c r="L59" s="162">
        <v>0.0</v>
      </c>
      <c r="M59" s="63"/>
      <c r="N59" s="64"/>
      <c r="O59" s="65"/>
    </row>
    <row r="60">
      <c r="A60" s="51" t="s">
        <v>244</v>
      </c>
      <c r="B60" s="52"/>
      <c r="C60" s="142" t="s">
        <v>275</v>
      </c>
      <c r="D60" s="55">
        <v>2.5</v>
      </c>
      <c r="E60" s="56">
        <f t="shared" si="1"/>
        <v>1</v>
      </c>
      <c r="F60" s="57">
        <f t="shared" si="2"/>
        <v>2.5</v>
      </c>
      <c r="G60" s="57">
        <f t="shared" si="3"/>
        <v>0</v>
      </c>
      <c r="H60" s="58">
        <f t="shared" si="4"/>
        <v>0</v>
      </c>
      <c r="I60" s="59">
        <v>1.0</v>
      </c>
      <c r="J60" s="60"/>
      <c r="K60" s="61">
        <v>0.1</v>
      </c>
      <c r="L60" s="162">
        <v>0.0</v>
      </c>
      <c r="M60" s="63"/>
      <c r="N60" s="64"/>
      <c r="O60" s="65"/>
    </row>
    <row r="61">
      <c r="A61" s="51" t="s">
        <v>244</v>
      </c>
      <c r="B61" s="52" t="s">
        <v>245</v>
      </c>
      <c r="C61" s="99" t="s">
        <v>235</v>
      </c>
      <c r="D61" s="101">
        <v>4.0</v>
      </c>
      <c r="E61" s="56">
        <f t="shared" si="1"/>
        <v>1</v>
      </c>
      <c r="F61" s="103">
        <f t="shared" si="2"/>
        <v>4</v>
      </c>
      <c r="G61" s="103">
        <f t="shared" si="3"/>
        <v>0</v>
      </c>
      <c r="H61" s="89">
        <f t="shared" si="4"/>
        <v>0</v>
      </c>
      <c r="I61" s="104">
        <v>1.0</v>
      </c>
      <c r="J61" s="111"/>
      <c r="K61" s="106">
        <v>0.1</v>
      </c>
      <c r="L61" s="149">
        <v>0.0</v>
      </c>
      <c r="M61" s="108"/>
      <c r="N61" s="109"/>
      <c r="O61" s="110"/>
    </row>
    <row r="62">
      <c r="A62" s="51" t="s">
        <v>244</v>
      </c>
      <c r="B62" s="52"/>
      <c r="C62" s="142" t="s">
        <v>276</v>
      </c>
      <c r="D62" s="101">
        <v>3.0</v>
      </c>
      <c r="E62" s="56">
        <f t="shared" si="1"/>
        <v>1</v>
      </c>
      <c r="F62" s="103">
        <f t="shared" si="2"/>
        <v>3</v>
      </c>
      <c r="G62" s="103">
        <f t="shared" si="3"/>
        <v>0</v>
      </c>
      <c r="H62" s="89">
        <f t="shared" si="4"/>
        <v>0</v>
      </c>
      <c r="I62" s="104">
        <v>1.0</v>
      </c>
      <c r="J62" s="111"/>
      <c r="K62" s="106">
        <v>0.1</v>
      </c>
      <c r="L62" s="149">
        <v>0.0</v>
      </c>
      <c r="M62" s="108"/>
      <c r="N62" s="109"/>
      <c r="O62" s="110"/>
    </row>
    <row r="63">
      <c r="A63" s="51" t="s">
        <v>244</v>
      </c>
      <c r="B63" s="52"/>
      <c r="C63" s="142" t="s">
        <v>277</v>
      </c>
      <c r="D63" s="101">
        <v>2.0</v>
      </c>
      <c r="E63" s="56">
        <f t="shared" si="1"/>
        <v>1</v>
      </c>
      <c r="F63" s="103">
        <f t="shared" si="2"/>
        <v>2</v>
      </c>
      <c r="G63" s="103">
        <f t="shared" si="3"/>
        <v>0</v>
      </c>
      <c r="H63" s="89">
        <f t="shared" si="4"/>
        <v>0</v>
      </c>
      <c r="I63" s="104">
        <v>1.0</v>
      </c>
      <c r="J63" s="111"/>
      <c r="K63" s="106">
        <v>0.1</v>
      </c>
      <c r="L63" s="149">
        <v>0.0</v>
      </c>
      <c r="M63" s="108"/>
      <c r="N63" s="109"/>
      <c r="O63" s="110"/>
    </row>
    <row r="64">
      <c r="A64" s="51" t="s">
        <v>244</v>
      </c>
      <c r="B64" s="52" t="s">
        <v>245</v>
      </c>
      <c r="C64" s="99" t="s">
        <v>278</v>
      </c>
      <c r="D64" s="101">
        <v>4.0</v>
      </c>
      <c r="E64" s="56">
        <f t="shared" si="1"/>
        <v>1</v>
      </c>
      <c r="F64" s="103">
        <f t="shared" si="2"/>
        <v>4</v>
      </c>
      <c r="G64" s="103">
        <f t="shared" si="3"/>
        <v>0</v>
      </c>
      <c r="H64" s="89">
        <f t="shared" si="4"/>
        <v>0</v>
      </c>
      <c r="I64" s="104">
        <v>1.0</v>
      </c>
      <c r="J64" s="111"/>
      <c r="K64" s="106">
        <v>0.1</v>
      </c>
      <c r="L64" s="149">
        <v>0.0</v>
      </c>
      <c r="M64" s="108"/>
      <c r="N64" s="109"/>
      <c r="O64" s="110"/>
    </row>
    <row r="65">
      <c r="A65" s="51" t="s">
        <v>244</v>
      </c>
      <c r="B65" s="52"/>
      <c r="C65" s="142" t="s">
        <v>279</v>
      </c>
      <c r="D65" s="101">
        <v>3.0</v>
      </c>
      <c r="E65" s="56">
        <f t="shared" si="1"/>
        <v>1</v>
      </c>
      <c r="F65" s="103">
        <f t="shared" si="2"/>
        <v>3</v>
      </c>
      <c r="G65" s="103">
        <f t="shared" si="3"/>
        <v>0</v>
      </c>
      <c r="H65" s="89">
        <f t="shared" si="4"/>
        <v>0</v>
      </c>
      <c r="I65" s="104">
        <v>1.0</v>
      </c>
      <c r="J65" s="111"/>
      <c r="K65" s="106">
        <v>0.1</v>
      </c>
      <c r="L65" s="149">
        <v>0.0</v>
      </c>
      <c r="M65" s="108"/>
      <c r="N65" s="109"/>
      <c r="O65" s="110"/>
    </row>
    <row r="66">
      <c r="A66" s="51" t="s">
        <v>244</v>
      </c>
      <c r="B66" s="52"/>
      <c r="C66" s="142" t="s">
        <v>280</v>
      </c>
      <c r="D66" s="101">
        <v>2.0</v>
      </c>
      <c r="E66" s="56">
        <f t="shared" si="1"/>
        <v>1</v>
      </c>
      <c r="F66" s="103">
        <f t="shared" si="2"/>
        <v>2</v>
      </c>
      <c r="G66" s="103">
        <f t="shared" si="3"/>
        <v>0</v>
      </c>
      <c r="H66" s="89">
        <f t="shared" si="4"/>
        <v>0</v>
      </c>
      <c r="I66" s="104">
        <v>1.0</v>
      </c>
      <c r="J66" s="111"/>
      <c r="K66" s="106">
        <v>0.1</v>
      </c>
      <c r="L66" s="149">
        <v>0.0</v>
      </c>
      <c r="M66" s="108"/>
      <c r="N66" s="109"/>
      <c r="O66" s="110"/>
    </row>
    <row r="67">
      <c r="A67" s="51" t="s">
        <v>244</v>
      </c>
      <c r="B67" s="52" t="s">
        <v>252</v>
      </c>
      <c r="C67" s="99" t="s">
        <v>281</v>
      </c>
      <c r="D67" s="101">
        <v>5.0</v>
      </c>
      <c r="E67" s="56">
        <f t="shared" si="1"/>
        <v>1</v>
      </c>
      <c r="F67" s="103">
        <f t="shared" si="2"/>
        <v>5</v>
      </c>
      <c r="G67" s="103">
        <f t="shared" si="3"/>
        <v>0</v>
      </c>
      <c r="H67" s="89">
        <f t="shared" si="4"/>
        <v>0</v>
      </c>
      <c r="I67" s="104">
        <v>1.0</v>
      </c>
      <c r="J67" s="111"/>
      <c r="K67" s="106">
        <v>0.1</v>
      </c>
      <c r="L67" s="149">
        <v>0.0</v>
      </c>
      <c r="M67" s="108"/>
      <c r="N67" s="109"/>
      <c r="O67" s="110"/>
    </row>
    <row r="68">
      <c r="A68" s="51" t="s">
        <v>244</v>
      </c>
      <c r="B68" s="52"/>
      <c r="C68" s="142" t="s">
        <v>282</v>
      </c>
      <c r="D68" s="101">
        <v>4.0</v>
      </c>
      <c r="E68" s="56">
        <f t="shared" si="1"/>
        <v>1</v>
      </c>
      <c r="F68" s="103">
        <f t="shared" si="2"/>
        <v>4</v>
      </c>
      <c r="G68" s="103">
        <f t="shared" si="3"/>
        <v>0</v>
      </c>
      <c r="H68" s="89">
        <f t="shared" si="4"/>
        <v>0</v>
      </c>
      <c r="I68" s="104">
        <v>1.0</v>
      </c>
      <c r="J68" s="111"/>
      <c r="K68" s="106">
        <v>0.1</v>
      </c>
      <c r="L68" s="149">
        <v>0.0</v>
      </c>
      <c r="M68" s="108"/>
      <c r="N68" s="109"/>
      <c r="O68" s="110"/>
    </row>
    <row r="69">
      <c r="A69" s="51" t="s">
        <v>244</v>
      </c>
      <c r="B69" s="52"/>
      <c r="C69" s="142" t="s">
        <v>283</v>
      </c>
      <c r="D69" s="101">
        <v>3.0</v>
      </c>
      <c r="E69" s="56">
        <f t="shared" si="1"/>
        <v>1</v>
      </c>
      <c r="F69" s="103">
        <f t="shared" si="2"/>
        <v>3</v>
      </c>
      <c r="G69" s="103">
        <f t="shared" si="3"/>
        <v>0</v>
      </c>
      <c r="H69" s="89">
        <f t="shared" si="4"/>
        <v>0</v>
      </c>
      <c r="I69" s="104">
        <v>1.0</v>
      </c>
      <c r="J69" s="111"/>
      <c r="K69" s="106">
        <v>0.1</v>
      </c>
      <c r="L69" s="149">
        <v>0.0</v>
      </c>
      <c r="M69" s="108"/>
      <c r="N69" s="109"/>
      <c r="O69" s="110"/>
    </row>
    <row r="70">
      <c r="A70" s="51" t="s">
        <v>244</v>
      </c>
      <c r="B70" s="52" t="s">
        <v>252</v>
      </c>
      <c r="C70" s="99" t="s">
        <v>284</v>
      </c>
      <c r="D70" s="101">
        <v>3.5</v>
      </c>
      <c r="E70" s="56">
        <f t="shared" si="1"/>
        <v>1</v>
      </c>
      <c r="F70" s="103">
        <f t="shared" si="2"/>
        <v>3.5</v>
      </c>
      <c r="G70" s="103">
        <f t="shared" si="3"/>
        <v>0</v>
      </c>
      <c r="H70" s="89">
        <f t="shared" si="4"/>
        <v>0</v>
      </c>
      <c r="I70" s="104">
        <v>1.0</v>
      </c>
      <c r="J70" s="111"/>
      <c r="K70" s="106">
        <v>0.1</v>
      </c>
      <c r="L70" s="149">
        <v>0.0</v>
      </c>
      <c r="M70" s="108"/>
      <c r="N70" s="109"/>
      <c r="O70" s="110"/>
    </row>
    <row r="71">
      <c r="A71" s="51" t="s">
        <v>244</v>
      </c>
      <c r="B71" s="52" t="s">
        <v>252</v>
      </c>
      <c r="C71" s="99" t="s">
        <v>285</v>
      </c>
      <c r="D71" s="101">
        <v>4.0</v>
      </c>
      <c r="E71" s="56">
        <f t="shared" si="1"/>
        <v>1</v>
      </c>
      <c r="F71" s="103">
        <f t="shared" si="2"/>
        <v>4</v>
      </c>
      <c r="G71" s="103">
        <f t="shared" si="3"/>
        <v>0</v>
      </c>
      <c r="H71" s="89">
        <f t="shared" si="4"/>
        <v>0</v>
      </c>
      <c r="I71" s="104">
        <v>1.0</v>
      </c>
      <c r="J71" s="111"/>
      <c r="K71" s="106">
        <v>0.1</v>
      </c>
      <c r="L71" s="149">
        <v>0.0</v>
      </c>
      <c r="M71" s="108"/>
      <c r="N71" s="109"/>
      <c r="O71" s="110"/>
    </row>
    <row r="72">
      <c r="A72" s="51" t="s">
        <v>244</v>
      </c>
      <c r="B72" s="52" t="s">
        <v>252</v>
      </c>
      <c r="C72" s="99" t="s">
        <v>240</v>
      </c>
      <c r="D72" s="101">
        <v>4.0</v>
      </c>
      <c r="E72" s="56">
        <f t="shared" si="1"/>
        <v>1</v>
      </c>
      <c r="F72" s="103">
        <f t="shared" si="2"/>
        <v>4</v>
      </c>
      <c r="G72" s="103">
        <f t="shared" si="3"/>
        <v>0</v>
      </c>
      <c r="H72" s="89">
        <f t="shared" si="4"/>
        <v>0</v>
      </c>
      <c r="I72" s="104">
        <v>1.0</v>
      </c>
      <c r="J72" s="111"/>
      <c r="K72" s="106">
        <v>0.1</v>
      </c>
      <c r="L72" s="149">
        <v>0.0</v>
      </c>
      <c r="M72" s="108"/>
      <c r="N72" s="109"/>
      <c r="O72" s="110"/>
    </row>
    <row r="73">
      <c r="A73" s="51" t="s">
        <v>244</v>
      </c>
      <c r="B73" s="52"/>
      <c r="C73" s="142" t="s">
        <v>286</v>
      </c>
      <c r="D73" s="101">
        <v>3.0</v>
      </c>
      <c r="E73" s="56">
        <f t="shared" si="1"/>
        <v>1</v>
      </c>
      <c r="F73" s="103">
        <f t="shared" si="2"/>
        <v>3</v>
      </c>
      <c r="G73" s="103">
        <f t="shared" si="3"/>
        <v>0</v>
      </c>
      <c r="H73" s="89">
        <f t="shared" si="4"/>
        <v>0</v>
      </c>
      <c r="I73" s="104">
        <v>1.0</v>
      </c>
      <c r="J73" s="111"/>
      <c r="K73" s="106">
        <v>0.1</v>
      </c>
      <c r="L73" s="149">
        <v>0.0</v>
      </c>
      <c r="M73" s="108"/>
      <c r="N73" s="109"/>
      <c r="O73" s="110"/>
    </row>
    <row r="74">
      <c r="A74" s="51" t="s">
        <v>244</v>
      </c>
      <c r="B74" s="52"/>
      <c r="C74" s="142" t="s">
        <v>287</v>
      </c>
      <c r="D74" s="101">
        <v>2.0</v>
      </c>
      <c r="E74" s="56">
        <f t="shared" si="1"/>
        <v>1</v>
      </c>
      <c r="F74" s="103">
        <f t="shared" si="2"/>
        <v>2</v>
      </c>
      <c r="G74" s="103">
        <f t="shared" si="3"/>
        <v>0</v>
      </c>
      <c r="H74" s="89">
        <f t="shared" si="4"/>
        <v>0</v>
      </c>
      <c r="I74" s="104">
        <v>1.0</v>
      </c>
      <c r="J74" s="111"/>
      <c r="K74" s="106">
        <v>0.1</v>
      </c>
      <c r="L74" s="149">
        <v>0.0</v>
      </c>
      <c r="M74" s="108"/>
      <c r="N74" s="109"/>
      <c r="O74" s="110"/>
    </row>
    <row r="75">
      <c r="A75" s="51" t="s">
        <v>244</v>
      </c>
      <c r="B75" s="52" t="s">
        <v>252</v>
      </c>
      <c r="C75" s="99" t="s">
        <v>288</v>
      </c>
      <c r="D75" s="101">
        <v>6.0</v>
      </c>
      <c r="E75" s="56">
        <f t="shared" si="1"/>
        <v>1</v>
      </c>
      <c r="F75" s="103">
        <f t="shared" si="2"/>
        <v>6</v>
      </c>
      <c r="G75" s="103">
        <f t="shared" si="3"/>
        <v>0</v>
      </c>
      <c r="H75" s="89">
        <f t="shared" si="4"/>
        <v>0</v>
      </c>
      <c r="I75" s="104">
        <v>1.0</v>
      </c>
      <c r="J75" s="111"/>
      <c r="K75" s="106">
        <v>0.1</v>
      </c>
      <c r="L75" s="149">
        <v>0.0</v>
      </c>
      <c r="M75" s="108"/>
      <c r="N75" s="109"/>
      <c r="O75" s="110"/>
    </row>
    <row r="76">
      <c r="A76" s="51" t="s">
        <v>244</v>
      </c>
      <c r="B76" s="52"/>
      <c r="C76" s="142" t="s">
        <v>289</v>
      </c>
      <c r="D76" s="101">
        <v>4.5</v>
      </c>
      <c r="E76" s="56">
        <f t="shared" si="1"/>
        <v>1</v>
      </c>
      <c r="F76" s="103">
        <f t="shared" si="2"/>
        <v>4.5</v>
      </c>
      <c r="G76" s="103">
        <f t="shared" si="3"/>
        <v>0</v>
      </c>
      <c r="H76" s="89">
        <f t="shared" si="4"/>
        <v>0</v>
      </c>
      <c r="I76" s="104">
        <v>1.0</v>
      </c>
      <c r="J76" s="111"/>
      <c r="K76" s="106">
        <v>0.1</v>
      </c>
      <c r="L76" s="149">
        <v>0.0</v>
      </c>
      <c r="M76" s="108"/>
      <c r="N76" s="109"/>
      <c r="O76" s="110"/>
    </row>
    <row r="77">
      <c r="A77" s="51" t="s">
        <v>244</v>
      </c>
      <c r="B77" s="52"/>
      <c r="C77" s="142" t="s">
        <v>290</v>
      </c>
      <c r="D77" s="101">
        <v>3.0</v>
      </c>
      <c r="E77" s="56">
        <f t="shared" si="1"/>
        <v>1</v>
      </c>
      <c r="F77" s="103">
        <f t="shared" si="2"/>
        <v>3</v>
      </c>
      <c r="G77" s="103">
        <f t="shared" si="3"/>
        <v>0</v>
      </c>
      <c r="H77" s="89">
        <f t="shared" si="4"/>
        <v>0</v>
      </c>
      <c r="I77" s="104">
        <v>1.0</v>
      </c>
      <c r="J77" s="111"/>
      <c r="K77" s="106">
        <v>0.1</v>
      </c>
      <c r="L77" s="149">
        <v>0.0</v>
      </c>
      <c r="M77" s="108"/>
      <c r="N77" s="109"/>
      <c r="O77" s="110"/>
    </row>
    <row r="78">
      <c r="A78" s="51" t="s">
        <v>244</v>
      </c>
      <c r="B78" s="52" t="s">
        <v>245</v>
      </c>
      <c r="C78" s="53" t="s">
        <v>291</v>
      </c>
      <c r="D78" s="55">
        <v>5.0</v>
      </c>
      <c r="E78" s="56">
        <f t="shared" si="1"/>
        <v>1</v>
      </c>
      <c r="F78" s="57">
        <f t="shared" si="2"/>
        <v>5</v>
      </c>
      <c r="G78" s="57">
        <f t="shared" si="3"/>
        <v>0</v>
      </c>
      <c r="H78" s="58">
        <f t="shared" si="4"/>
        <v>0</v>
      </c>
      <c r="I78" s="59">
        <v>1.0</v>
      </c>
      <c r="J78" s="60"/>
      <c r="K78" s="61">
        <v>0.1</v>
      </c>
      <c r="L78" s="162">
        <v>0.0</v>
      </c>
      <c r="M78" s="63"/>
      <c r="N78" s="64"/>
      <c r="O78" s="65"/>
    </row>
    <row r="79">
      <c r="A79" s="51" t="s">
        <v>244</v>
      </c>
      <c r="B79" s="52"/>
      <c r="C79" s="66" t="s">
        <v>292</v>
      </c>
      <c r="D79" s="55">
        <v>4.0</v>
      </c>
      <c r="E79" s="56">
        <f t="shared" si="1"/>
        <v>1</v>
      </c>
      <c r="F79" s="57">
        <f t="shared" si="2"/>
        <v>4</v>
      </c>
      <c r="G79" s="57">
        <f t="shared" si="3"/>
        <v>0</v>
      </c>
      <c r="H79" s="58">
        <f t="shared" si="4"/>
        <v>0</v>
      </c>
      <c r="I79" s="59">
        <v>1.0</v>
      </c>
      <c r="J79" s="60"/>
      <c r="K79" s="61">
        <v>0.1</v>
      </c>
      <c r="L79" s="162">
        <v>0.0</v>
      </c>
      <c r="M79" s="63"/>
      <c r="N79" s="64"/>
      <c r="O79" s="65"/>
    </row>
    <row r="80">
      <c r="A80" s="51" t="s">
        <v>244</v>
      </c>
      <c r="B80" s="52"/>
      <c r="C80" s="66" t="s">
        <v>293</v>
      </c>
      <c r="D80" s="55">
        <v>3.0</v>
      </c>
      <c r="E80" s="56">
        <f t="shared" si="1"/>
        <v>1</v>
      </c>
      <c r="F80" s="57">
        <f t="shared" si="2"/>
        <v>3</v>
      </c>
      <c r="G80" s="57">
        <f t="shared" si="3"/>
        <v>0</v>
      </c>
      <c r="H80" s="58">
        <f t="shared" si="4"/>
        <v>0</v>
      </c>
      <c r="I80" s="59">
        <v>1.0</v>
      </c>
      <c r="J80" s="60"/>
      <c r="K80" s="61">
        <v>0.1</v>
      </c>
      <c r="L80" s="162">
        <v>0.0</v>
      </c>
      <c r="M80" s="63"/>
      <c r="N80" s="64"/>
      <c r="O80" s="65"/>
    </row>
    <row r="81">
      <c r="A81" s="51" t="s">
        <v>244</v>
      </c>
      <c r="B81" s="52" t="s">
        <v>245</v>
      </c>
      <c r="C81" s="99" t="s">
        <v>294</v>
      </c>
      <c r="D81" s="101">
        <v>5.0</v>
      </c>
      <c r="E81" s="56">
        <f t="shared" si="1"/>
        <v>1</v>
      </c>
      <c r="F81" s="103">
        <f t="shared" si="2"/>
        <v>5</v>
      </c>
      <c r="G81" s="103">
        <f t="shared" si="3"/>
        <v>0</v>
      </c>
      <c r="H81" s="89">
        <f t="shared" si="4"/>
        <v>0</v>
      </c>
      <c r="I81" s="104">
        <v>1.0</v>
      </c>
      <c r="J81" s="111"/>
      <c r="K81" s="106">
        <v>0.1</v>
      </c>
      <c r="L81" s="149">
        <v>0.0</v>
      </c>
      <c r="M81" s="108"/>
      <c r="N81" s="109"/>
      <c r="O81" s="110"/>
    </row>
    <row r="82">
      <c r="A82" s="51" t="s">
        <v>244</v>
      </c>
      <c r="B82" s="52"/>
      <c r="C82" s="142" t="s">
        <v>295</v>
      </c>
      <c r="D82" s="101">
        <v>3.5</v>
      </c>
      <c r="E82" s="56">
        <f t="shared" si="1"/>
        <v>1</v>
      </c>
      <c r="F82" s="103">
        <f t="shared" si="2"/>
        <v>3.5</v>
      </c>
      <c r="G82" s="103">
        <f t="shared" si="3"/>
        <v>0</v>
      </c>
      <c r="H82" s="89">
        <f t="shared" si="4"/>
        <v>0</v>
      </c>
      <c r="I82" s="104">
        <v>1.0</v>
      </c>
      <c r="J82" s="111"/>
      <c r="K82" s="106">
        <v>0.1</v>
      </c>
      <c r="L82" s="149">
        <v>0.0</v>
      </c>
      <c r="M82" s="108"/>
      <c r="N82" s="109"/>
      <c r="O82" s="110"/>
    </row>
    <row r="83">
      <c r="A83" s="51" t="s">
        <v>244</v>
      </c>
      <c r="B83" s="52"/>
      <c r="C83" s="142" t="s">
        <v>296</v>
      </c>
      <c r="D83" s="101">
        <v>2.5</v>
      </c>
      <c r="E83" s="56">
        <f t="shared" si="1"/>
        <v>1</v>
      </c>
      <c r="F83" s="103">
        <f t="shared" si="2"/>
        <v>2.5</v>
      </c>
      <c r="G83" s="103">
        <f t="shared" si="3"/>
        <v>0</v>
      </c>
      <c r="H83" s="89">
        <f t="shared" si="4"/>
        <v>0</v>
      </c>
      <c r="I83" s="104">
        <v>1.0</v>
      </c>
      <c r="J83" s="111"/>
      <c r="K83" s="106">
        <v>0.1</v>
      </c>
      <c r="L83" s="149">
        <v>0.0</v>
      </c>
      <c r="M83" s="108"/>
      <c r="N83" s="109"/>
      <c r="O83" s="110"/>
    </row>
    <row r="84">
      <c r="A84" s="51" t="s">
        <v>244</v>
      </c>
      <c r="B84" s="52" t="s">
        <v>245</v>
      </c>
      <c r="C84" s="99" t="s">
        <v>297</v>
      </c>
      <c r="D84" s="101">
        <v>5.0</v>
      </c>
      <c r="E84" s="56">
        <f t="shared" si="1"/>
        <v>1</v>
      </c>
      <c r="F84" s="103">
        <f t="shared" si="2"/>
        <v>5</v>
      </c>
      <c r="G84" s="103">
        <f t="shared" si="3"/>
        <v>0</v>
      </c>
      <c r="H84" s="89">
        <f t="shared" si="4"/>
        <v>0</v>
      </c>
      <c r="I84" s="104">
        <v>1.0</v>
      </c>
      <c r="J84" s="111"/>
      <c r="K84" s="106">
        <v>0.1</v>
      </c>
      <c r="L84" s="149">
        <v>0.0</v>
      </c>
      <c r="M84" s="108"/>
      <c r="N84" s="109"/>
      <c r="O84" s="110"/>
    </row>
    <row r="85">
      <c r="A85" s="51" t="s">
        <v>244</v>
      </c>
      <c r="B85" s="52"/>
      <c r="C85" s="142" t="s">
        <v>298</v>
      </c>
      <c r="D85" s="101">
        <v>3.5</v>
      </c>
      <c r="E85" s="56">
        <f t="shared" si="1"/>
        <v>1</v>
      </c>
      <c r="F85" s="103">
        <f t="shared" si="2"/>
        <v>3.5</v>
      </c>
      <c r="G85" s="103">
        <f t="shared" si="3"/>
        <v>0</v>
      </c>
      <c r="H85" s="89">
        <f t="shared" si="4"/>
        <v>0</v>
      </c>
      <c r="I85" s="104">
        <v>1.0</v>
      </c>
      <c r="J85" s="111"/>
      <c r="K85" s="106">
        <v>0.1</v>
      </c>
      <c r="L85" s="149">
        <v>0.0</v>
      </c>
      <c r="M85" s="108"/>
      <c r="N85" s="109"/>
      <c r="O85" s="110"/>
    </row>
    <row r="86">
      <c r="A86" s="51" t="s">
        <v>244</v>
      </c>
      <c r="B86" s="52"/>
      <c r="C86" s="142" t="s">
        <v>299</v>
      </c>
      <c r="D86" s="101">
        <v>2.5</v>
      </c>
      <c r="E86" s="56">
        <f t="shared" si="1"/>
        <v>1</v>
      </c>
      <c r="F86" s="103">
        <f t="shared" si="2"/>
        <v>2.5</v>
      </c>
      <c r="G86" s="103">
        <f t="shared" si="3"/>
        <v>0</v>
      </c>
      <c r="H86" s="89">
        <f t="shared" si="4"/>
        <v>0</v>
      </c>
      <c r="I86" s="104">
        <v>1.0</v>
      </c>
      <c r="J86" s="111"/>
      <c r="K86" s="106">
        <v>0.1</v>
      </c>
      <c r="L86" s="149">
        <v>0.0</v>
      </c>
      <c r="M86" s="108"/>
      <c r="N86" s="109"/>
      <c r="O86" s="110"/>
    </row>
    <row r="87">
      <c r="A87" s="51" t="s">
        <v>244</v>
      </c>
      <c r="B87" s="52" t="s">
        <v>245</v>
      </c>
      <c r="C87" s="99" t="s">
        <v>300</v>
      </c>
      <c r="D87" s="101">
        <v>4.0</v>
      </c>
      <c r="E87" s="56">
        <f t="shared" si="1"/>
        <v>1</v>
      </c>
      <c r="F87" s="103">
        <f t="shared" si="2"/>
        <v>4</v>
      </c>
      <c r="G87" s="103">
        <f t="shared" si="3"/>
        <v>0</v>
      </c>
      <c r="H87" s="89">
        <f t="shared" si="4"/>
        <v>0</v>
      </c>
      <c r="I87" s="104">
        <v>1.0</v>
      </c>
      <c r="J87" s="111"/>
      <c r="K87" s="106">
        <v>0.1</v>
      </c>
      <c r="L87" s="149">
        <v>0.0</v>
      </c>
      <c r="M87" s="108"/>
      <c r="N87" s="109"/>
      <c r="O87" s="110"/>
    </row>
    <row r="88">
      <c r="A88" s="51" t="s">
        <v>244</v>
      </c>
      <c r="B88" s="52"/>
      <c r="C88" s="142" t="s">
        <v>301</v>
      </c>
      <c r="D88" s="101">
        <v>3.0</v>
      </c>
      <c r="E88" s="56">
        <f t="shared" si="1"/>
        <v>1</v>
      </c>
      <c r="F88" s="103">
        <f t="shared" si="2"/>
        <v>3</v>
      </c>
      <c r="G88" s="103">
        <f t="shared" si="3"/>
        <v>0</v>
      </c>
      <c r="H88" s="89">
        <f t="shared" si="4"/>
        <v>0</v>
      </c>
      <c r="I88" s="104">
        <v>1.0</v>
      </c>
      <c r="J88" s="111"/>
      <c r="K88" s="106">
        <v>0.1</v>
      </c>
      <c r="L88" s="149">
        <v>0.0</v>
      </c>
      <c r="M88" s="108"/>
      <c r="N88" s="109"/>
      <c r="O88" s="110"/>
    </row>
    <row r="89">
      <c r="A89" s="51" t="s">
        <v>244</v>
      </c>
      <c r="B89" s="52"/>
      <c r="C89" s="142" t="s">
        <v>302</v>
      </c>
      <c r="D89" s="101">
        <v>2.0</v>
      </c>
      <c r="E89" s="56">
        <f t="shared" si="1"/>
        <v>1</v>
      </c>
      <c r="F89" s="103">
        <f t="shared" si="2"/>
        <v>2</v>
      </c>
      <c r="G89" s="103">
        <f t="shared" si="3"/>
        <v>0</v>
      </c>
      <c r="H89" s="89">
        <f t="shared" si="4"/>
        <v>0</v>
      </c>
      <c r="I89" s="104">
        <v>1.0</v>
      </c>
      <c r="J89" s="111"/>
      <c r="K89" s="106">
        <v>0.1</v>
      </c>
      <c r="L89" s="149">
        <v>0.0</v>
      </c>
      <c r="M89" s="108"/>
      <c r="N89" s="109"/>
      <c r="O89" s="110"/>
    </row>
    <row r="90">
      <c r="A90" s="51" t="s">
        <v>244</v>
      </c>
      <c r="B90" s="52" t="s">
        <v>252</v>
      </c>
      <c r="C90" s="99" t="s">
        <v>303</v>
      </c>
      <c r="D90" s="101">
        <v>4.0</v>
      </c>
      <c r="E90" s="56">
        <f t="shared" si="1"/>
        <v>1</v>
      </c>
      <c r="F90" s="103">
        <f t="shared" si="2"/>
        <v>4</v>
      </c>
      <c r="G90" s="103">
        <f t="shared" si="3"/>
        <v>0</v>
      </c>
      <c r="H90" s="89">
        <f t="shared" si="4"/>
        <v>0</v>
      </c>
      <c r="I90" s="104">
        <v>1.0</v>
      </c>
      <c r="J90" s="111"/>
      <c r="K90" s="106">
        <v>0.1</v>
      </c>
      <c r="L90" s="149">
        <v>0.0</v>
      </c>
      <c r="M90" s="108"/>
      <c r="N90" s="109"/>
      <c r="O90" s="110"/>
    </row>
    <row r="91">
      <c r="A91" s="51" t="s">
        <v>244</v>
      </c>
      <c r="B91" s="52"/>
      <c r="C91" s="142" t="s">
        <v>304</v>
      </c>
      <c r="D91" s="101">
        <v>3.0</v>
      </c>
      <c r="E91" s="56">
        <f t="shared" si="1"/>
        <v>1</v>
      </c>
      <c r="F91" s="103">
        <f t="shared" si="2"/>
        <v>3</v>
      </c>
      <c r="G91" s="103">
        <f t="shared" si="3"/>
        <v>0</v>
      </c>
      <c r="H91" s="89">
        <f t="shared" si="4"/>
        <v>0</v>
      </c>
      <c r="I91" s="104">
        <v>1.0</v>
      </c>
      <c r="J91" s="111"/>
      <c r="K91" s="106">
        <v>0.1</v>
      </c>
      <c r="L91" s="149">
        <v>0.0</v>
      </c>
      <c r="M91" s="108"/>
      <c r="N91" s="109"/>
      <c r="O91" s="110"/>
    </row>
    <row r="92">
      <c r="A92" s="163" t="s">
        <v>244</v>
      </c>
      <c r="B92" s="164"/>
      <c r="C92" s="165" t="s">
        <v>305</v>
      </c>
      <c r="D92" s="166">
        <v>2.5</v>
      </c>
      <c r="E92" s="167">
        <f t="shared" si="1"/>
        <v>1</v>
      </c>
      <c r="F92" s="168">
        <f t="shared" si="2"/>
        <v>2.5</v>
      </c>
      <c r="G92" s="168">
        <f t="shared" si="3"/>
        <v>0</v>
      </c>
      <c r="H92" s="169">
        <f t="shared" si="4"/>
        <v>0</v>
      </c>
      <c r="I92" s="170">
        <v>1.0</v>
      </c>
      <c r="J92" s="171"/>
      <c r="K92" s="172">
        <v>0.1</v>
      </c>
      <c r="L92" s="173">
        <v>0.0</v>
      </c>
      <c r="M92" s="174"/>
      <c r="N92" s="175"/>
      <c r="O92" s="176"/>
    </row>
    <row r="93">
      <c r="A93" s="52" t="s">
        <v>306</v>
      </c>
      <c r="B93" s="177"/>
      <c r="C93" s="99" t="s">
        <v>307</v>
      </c>
      <c r="D93" s="101">
        <v>0.5</v>
      </c>
      <c r="E93" s="56">
        <f t="shared" si="1"/>
        <v>1</v>
      </c>
      <c r="F93" s="103">
        <f t="shared" si="2"/>
        <v>0.5</v>
      </c>
      <c r="G93" s="103">
        <f t="shared" si="3"/>
        <v>0</v>
      </c>
      <c r="H93" s="89">
        <f t="shared" si="4"/>
        <v>0</v>
      </c>
      <c r="I93" s="104">
        <v>1.0</v>
      </c>
      <c r="J93" s="111"/>
      <c r="K93" s="106">
        <v>0.1</v>
      </c>
      <c r="L93" s="149">
        <v>0.0</v>
      </c>
      <c r="M93" s="108"/>
      <c r="N93" s="109"/>
      <c r="O93" s="110"/>
    </row>
    <row r="94">
      <c r="A94" s="52" t="s">
        <v>306</v>
      </c>
      <c r="B94" s="177"/>
      <c r="C94" s="53" t="s">
        <v>228</v>
      </c>
      <c r="D94" s="55">
        <v>1.0</v>
      </c>
      <c r="E94" s="56">
        <f t="shared" si="1"/>
        <v>1</v>
      </c>
      <c r="F94" s="57">
        <f t="shared" si="2"/>
        <v>1</v>
      </c>
      <c r="G94" s="57">
        <f t="shared" si="3"/>
        <v>0</v>
      </c>
      <c r="H94" s="58">
        <f t="shared" si="4"/>
        <v>0</v>
      </c>
      <c r="I94" s="59">
        <v>1.0</v>
      </c>
      <c r="J94" s="60"/>
      <c r="K94" s="61">
        <v>0.1</v>
      </c>
      <c r="L94" s="162">
        <v>0.0</v>
      </c>
      <c r="M94" s="63"/>
      <c r="N94" s="64"/>
      <c r="O94" s="65"/>
    </row>
    <row r="95">
      <c r="A95" s="52" t="s">
        <v>306</v>
      </c>
      <c r="B95" s="177"/>
      <c r="C95" s="99" t="s">
        <v>308</v>
      </c>
      <c r="D95" s="101">
        <v>0.5</v>
      </c>
      <c r="E95" s="56">
        <f t="shared" si="1"/>
        <v>1</v>
      </c>
      <c r="F95" s="103">
        <f t="shared" si="2"/>
        <v>0.5</v>
      </c>
      <c r="G95" s="103">
        <f t="shared" si="3"/>
        <v>0</v>
      </c>
      <c r="H95" s="89">
        <f t="shared" si="4"/>
        <v>0</v>
      </c>
      <c r="I95" s="104">
        <v>1.0</v>
      </c>
      <c r="J95" s="111"/>
      <c r="K95" s="106">
        <v>0.1</v>
      </c>
      <c r="L95" s="149">
        <v>0.0</v>
      </c>
      <c r="M95" s="108"/>
      <c r="N95" s="109"/>
      <c r="O95" s="110"/>
    </row>
    <row r="96">
      <c r="A96" s="52" t="s">
        <v>306</v>
      </c>
      <c r="B96" s="177"/>
      <c r="C96" s="99" t="s">
        <v>309</v>
      </c>
      <c r="D96" s="101">
        <v>0.5</v>
      </c>
      <c r="E96" s="56">
        <f t="shared" si="1"/>
        <v>1</v>
      </c>
      <c r="F96" s="103">
        <f t="shared" si="2"/>
        <v>0.5</v>
      </c>
      <c r="G96" s="103">
        <f t="shared" si="3"/>
        <v>0</v>
      </c>
      <c r="H96" s="89">
        <f t="shared" si="4"/>
        <v>0</v>
      </c>
      <c r="I96" s="104">
        <v>1.0</v>
      </c>
      <c r="J96" s="111"/>
      <c r="K96" s="106">
        <v>0.1</v>
      </c>
      <c r="L96" s="149">
        <v>0.0</v>
      </c>
      <c r="M96" s="108"/>
      <c r="N96" s="109"/>
      <c r="O96" s="110"/>
    </row>
    <row r="97">
      <c r="A97" s="52" t="s">
        <v>306</v>
      </c>
      <c r="B97" s="177"/>
      <c r="C97" s="99" t="s">
        <v>310</v>
      </c>
      <c r="D97" s="101">
        <v>0.5</v>
      </c>
      <c r="E97" s="56">
        <f t="shared" si="1"/>
        <v>1</v>
      </c>
      <c r="F97" s="103">
        <f t="shared" si="2"/>
        <v>0.5</v>
      </c>
      <c r="G97" s="103">
        <f t="shared" si="3"/>
        <v>0</v>
      </c>
      <c r="H97" s="89">
        <f t="shared" si="4"/>
        <v>0</v>
      </c>
      <c r="I97" s="104">
        <v>1.0</v>
      </c>
      <c r="J97" s="111"/>
      <c r="K97" s="106">
        <v>0.1</v>
      </c>
      <c r="L97" s="149">
        <v>0.0</v>
      </c>
      <c r="M97" s="108"/>
      <c r="N97" s="109"/>
      <c r="O97" s="110"/>
    </row>
    <row r="98">
      <c r="A98" s="52" t="s">
        <v>306</v>
      </c>
      <c r="B98" s="177"/>
      <c r="C98" s="99" t="s">
        <v>311</v>
      </c>
      <c r="D98" s="101">
        <v>0.1</v>
      </c>
      <c r="E98" s="56">
        <f t="shared" si="1"/>
        <v>1</v>
      </c>
      <c r="F98" s="103">
        <f t="shared" si="2"/>
        <v>0.1</v>
      </c>
      <c r="G98" s="103">
        <f t="shared" si="3"/>
        <v>0</v>
      </c>
      <c r="H98" s="89">
        <f t="shared" si="4"/>
        <v>0</v>
      </c>
      <c r="I98" s="104">
        <v>1.0</v>
      </c>
      <c r="J98" s="111"/>
      <c r="K98" s="106">
        <v>0.1</v>
      </c>
      <c r="L98" s="149">
        <v>0.0</v>
      </c>
      <c r="M98" s="108"/>
      <c r="N98" s="109"/>
      <c r="O98" s="110"/>
    </row>
    <row r="99">
      <c r="A99" s="52" t="s">
        <v>306</v>
      </c>
      <c r="B99" s="177"/>
      <c r="C99" s="99" t="s">
        <v>312</v>
      </c>
      <c r="D99" s="101">
        <v>1.0</v>
      </c>
      <c r="E99" s="56">
        <f t="shared" si="1"/>
        <v>1</v>
      </c>
      <c r="F99" s="103">
        <f t="shared" si="2"/>
        <v>1</v>
      </c>
      <c r="G99" s="103">
        <f t="shared" si="3"/>
        <v>0</v>
      </c>
      <c r="H99" s="89">
        <f t="shared" si="4"/>
        <v>0</v>
      </c>
      <c r="I99" s="104">
        <v>1.0</v>
      </c>
      <c r="J99" s="111"/>
      <c r="K99" s="106">
        <v>0.1</v>
      </c>
      <c r="L99" s="149">
        <v>0.0</v>
      </c>
      <c r="M99" s="108"/>
      <c r="N99" s="109"/>
      <c r="O99" s="110"/>
    </row>
    <row r="100">
      <c r="A100" s="52" t="s">
        <v>306</v>
      </c>
      <c r="B100" s="177"/>
      <c r="C100" s="99" t="s">
        <v>313</v>
      </c>
      <c r="D100" s="101">
        <v>0.5</v>
      </c>
      <c r="E100" s="56">
        <f t="shared" si="1"/>
        <v>1</v>
      </c>
      <c r="F100" s="103">
        <f t="shared" si="2"/>
        <v>0.5</v>
      </c>
      <c r="G100" s="103">
        <f t="shared" si="3"/>
        <v>0</v>
      </c>
      <c r="H100" s="89">
        <f t="shared" si="4"/>
        <v>0</v>
      </c>
      <c r="I100" s="104">
        <v>1.0</v>
      </c>
      <c r="J100" s="111"/>
      <c r="K100" s="106">
        <v>0.1</v>
      </c>
      <c r="L100" s="149">
        <v>0.0</v>
      </c>
      <c r="M100" s="108"/>
      <c r="N100" s="109"/>
      <c r="O100" s="110"/>
    </row>
    <row r="101">
      <c r="A101" s="160" t="s">
        <v>306</v>
      </c>
      <c r="B101" s="178"/>
      <c r="C101" s="114" t="s">
        <v>314</v>
      </c>
      <c r="D101" s="116">
        <v>0.1</v>
      </c>
      <c r="E101" s="161">
        <f t="shared" si="1"/>
        <v>1</v>
      </c>
      <c r="F101" s="118">
        <f t="shared" si="2"/>
        <v>0.1</v>
      </c>
      <c r="G101" s="118">
        <f t="shared" si="3"/>
        <v>0</v>
      </c>
      <c r="H101" s="119">
        <f t="shared" si="4"/>
        <v>0</v>
      </c>
      <c r="I101" s="120">
        <v>1.0</v>
      </c>
      <c r="J101" s="121"/>
      <c r="K101" s="122">
        <v>0.1</v>
      </c>
      <c r="L101" s="154">
        <v>0.0</v>
      </c>
      <c r="M101" s="124"/>
      <c r="N101" s="125"/>
      <c r="O101" s="126"/>
    </row>
    <row r="102">
      <c r="A102" s="51" t="s">
        <v>315</v>
      </c>
      <c r="B102" s="52" t="s">
        <v>316</v>
      </c>
      <c r="C102" s="53" t="s">
        <v>253</v>
      </c>
      <c r="D102" s="55">
        <v>2.5</v>
      </c>
      <c r="E102" s="56">
        <f t="shared" si="1"/>
        <v>1</v>
      </c>
      <c r="F102" s="57">
        <f t="shared" si="2"/>
        <v>2.5</v>
      </c>
      <c r="G102" s="57">
        <f t="shared" si="3"/>
        <v>0</v>
      </c>
      <c r="H102" s="58">
        <f t="shared" si="4"/>
        <v>0</v>
      </c>
      <c r="I102" s="59">
        <v>1.0</v>
      </c>
      <c r="J102" s="60"/>
      <c r="K102" s="61">
        <v>0.1</v>
      </c>
      <c r="L102" s="162">
        <v>0.0</v>
      </c>
      <c r="M102" s="63"/>
      <c r="N102" s="64"/>
      <c r="O102" s="65"/>
    </row>
    <row r="103">
      <c r="A103" s="51" t="s">
        <v>315</v>
      </c>
      <c r="B103" s="52" t="s">
        <v>316</v>
      </c>
      <c r="C103" s="99" t="s">
        <v>317</v>
      </c>
      <c r="D103" s="101">
        <v>4.0</v>
      </c>
      <c r="E103" s="56">
        <f t="shared" si="1"/>
        <v>1</v>
      </c>
      <c r="F103" s="103">
        <f t="shared" si="2"/>
        <v>4</v>
      </c>
      <c r="G103" s="103">
        <f t="shared" si="3"/>
        <v>0</v>
      </c>
      <c r="H103" s="89">
        <f t="shared" si="4"/>
        <v>0</v>
      </c>
      <c r="I103" s="104">
        <v>1.0</v>
      </c>
      <c r="J103" s="111"/>
      <c r="K103" s="106">
        <v>0.1</v>
      </c>
      <c r="L103" s="149">
        <v>0.0</v>
      </c>
      <c r="M103" s="108"/>
      <c r="N103" s="109"/>
      <c r="O103" s="110"/>
    </row>
    <row r="104">
      <c r="A104" s="51" t="s">
        <v>315</v>
      </c>
      <c r="B104" s="52" t="s">
        <v>316</v>
      </c>
      <c r="C104" s="99" t="s">
        <v>310</v>
      </c>
      <c r="D104" s="101">
        <v>2.0</v>
      </c>
      <c r="E104" s="56">
        <f t="shared" si="1"/>
        <v>1</v>
      </c>
      <c r="F104" s="103">
        <f t="shared" si="2"/>
        <v>2</v>
      </c>
      <c r="G104" s="103">
        <f t="shared" si="3"/>
        <v>0</v>
      </c>
      <c r="H104" s="89">
        <f t="shared" si="4"/>
        <v>0</v>
      </c>
      <c r="I104" s="104">
        <v>1.0</v>
      </c>
      <c r="J104" s="111"/>
      <c r="K104" s="106">
        <v>0.1</v>
      </c>
      <c r="L104" s="149">
        <v>0.0</v>
      </c>
      <c r="M104" s="108"/>
      <c r="N104" s="109"/>
      <c r="O104" s="110"/>
    </row>
    <row r="105">
      <c r="A105" s="51" t="s">
        <v>315</v>
      </c>
      <c r="B105" s="52" t="s">
        <v>316</v>
      </c>
      <c r="C105" s="99" t="s">
        <v>318</v>
      </c>
      <c r="D105" s="101">
        <v>1.2</v>
      </c>
      <c r="E105" s="56">
        <f t="shared" si="1"/>
        <v>1</v>
      </c>
      <c r="F105" s="103">
        <f t="shared" si="2"/>
        <v>1.2</v>
      </c>
      <c r="G105" s="103">
        <f t="shared" si="3"/>
        <v>0</v>
      </c>
      <c r="H105" s="89">
        <f t="shared" si="4"/>
        <v>0</v>
      </c>
      <c r="I105" s="104">
        <v>1.0</v>
      </c>
      <c r="J105" s="111"/>
      <c r="K105" s="106">
        <v>0.1</v>
      </c>
      <c r="L105" s="149">
        <v>0.0</v>
      </c>
      <c r="M105" s="108"/>
      <c r="N105" s="109"/>
      <c r="O105" s="110"/>
    </row>
    <row r="106">
      <c r="A106" s="51" t="s">
        <v>315</v>
      </c>
      <c r="B106" s="52" t="s">
        <v>316</v>
      </c>
      <c r="C106" s="99" t="s">
        <v>319</v>
      </c>
      <c r="D106" s="101">
        <v>1.3</v>
      </c>
      <c r="E106" s="56">
        <f t="shared" si="1"/>
        <v>1</v>
      </c>
      <c r="F106" s="103">
        <f t="shared" si="2"/>
        <v>1.3</v>
      </c>
      <c r="G106" s="103">
        <f t="shared" si="3"/>
        <v>0</v>
      </c>
      <c r="H106" s="89">
        <f t="shared" si="4"/>
        <v>0</v>
      </c>
      <c r="I106" s="104">
        <v>1.0</v>
      </c>
      <c r="J106" s="111"/>
      <c r="K106" s="106">
        <v>0.1</v>
      </c>
      <c r="L106" s="149">
        <v>0.0</v>
      </c>
      <c r="M106" s="108"/>
      <c r="N106" s="109"/>
      <c r="O106" s="110"/>
    </row>
    <row r="107">
      <c r="A107" s="51" t="s">
        <v>315</v>
      </c>
      <c r="B107" s="52" t="s">
        <v>316</v>
      </c>
      <c r="C107" s="99" t="s">
        <v>320</v>
      </c>
      <c r="D107" s="101">
        <v>0.8</v>
      </c>
      <c r="E107" s="56">
        <f t="shared" si="1"/>
        <v>1</v>
      </c>
      <c r="F107" s="103">
        <f t="shared" si="2"/>
        <v>0.8</v>
      </c>
      <c r="G107" s="103">
        <f t="shared" si="3"/>
        <v>0</v>
      </c>
      <c r="H107" s="89">
        <f t="shared" si="4"/>
        <v>0</v>
      </c>
      <c r="I107" s="104">
        <v>1.0</v>
      </c>
      <c r="J107" s="111"/>
      <c r="K107" s="106">
        <v>0.1</v>
      </c>
      <c r="L107" s="149">
        <v>0.0</v>
      </c>
      <c r="M107" s="108"/>
      <c r="N107" s="109"/>
      <c r="O107" s="110"/>
    </row>
    <row r="108">
      <c r="A108" s="51" t="s">
        <v>315</v>
      </c>
      <c r="B108" s="52" t="s">
        <v>316</v>
      </c>
      <c r="C108" s="99" t="s">
        <v>321</v>
      </c>
      <c r="D108" s="101">
        <v>4.0</v>
      </c>
      <c r="E108" s="56">
        <f t="shared" si="1"/>
        <v>1</v>
      </c>
      <c r="F108" s="103">
        <f t="shared" si="2"/>
        <v>4</v>
      </c>
      <c r="G108" s="103">
        <f t="shared" si="3"/>
        <v>0</v>
      </c>
      <c r="H108" s="89">
        <f t="shared" si="4"/>
        <v>0</v>
      </c>
      <c r="I108" s="104">
        <v>1.0</v>
      </c>
      <c r="J108" s="111"/>
      <c r="K108" s="106">
        <v>0.1</v>
      </c>
      <c r="L108" s="149">
        <v>0.0</v>
      </c>
      <c r="M108" s="108"/>
      <c r="N108" s="109"/>
      <c r="O108" s="110"/>
    </row>
    <row r="109">
      <c r="A109" s="159" t="s">
        <v>315</v>
      </c>
      <c r="B109" s="160" t="s">
        <v>316</v>
      </c>
      <c r="C109" s="114" t="s">
        <v>314</v>
      </c>
      <c r="D109" s="116">
        <v>1.1</v>
      </c>
      <c r="E109" s="161">
        <f t="shared" si="1"/>
        <v>1</v>
      </c>
      <c r="F109" s="118">
        <f t="shared" si="2"/>
        <v>1.1</v>
      </c>
      <c r="G109" s="118">
        <f t="shared" si="3"/>
        <v>0</v>
      </c>
      <c r="H109" s="119">
        <f t="shared" si="4"/>
        <v>0</v>
      </c>
      <c r="I109" s="120">
        <v>1.0</v>
      </c>
      <c r="J109" s="121"/>
      <c r="K109" s="122">
        <v>0.1</v>
      </c>
      <c r="L109" s="154">
        <v>0.0</v>
      </c>
      <c r="M109" s="124"/>
      <c r="N109" s="125"/>
      <c r="O109" s="126"/>
    </row>
    <row r="110">
      <c r="A110" s="51" t="s">
        <v>322</v>
      </c>
      <c r="B110" s="52" t="s">
        <v>323</v>
      </c>
      <c r="C110" s="99" t="s">
        <v>324</v>
      </c>
      <c r="D110" s="101">
        <v>0.5</v>
      </c>
      <c r="E110" s="102">
        <f t="shared" si="1"/>
        <v>1</v>
      </c>
      <c r="F110" s="103">
        <f t="shared" si="2"/>
        <v>0.5</v>
      </c>
      <c r="G110" s="103">
        <f t="shared" si="3"/>
        <v>0</v>
      </c>
      <c r="H110" s="89">
        <f t="shared" si="4"/>
        <v>0</v>
      </c>
      <c r="I110" s="104">
        <v>1.0</v>
      </c>
      <c r="J110" s="111"/>
      <c r="K110" s="106">
        <v>0.1</v>
      </c>
      <c r="L110" s="149">
        <v>0.0</v>
      </c>
      <c r="M110" s="108"/>
      <c r="N110" s="109"/>
      <c r="O110" s="110"/>
    </row>
    <row r="111">
      <c r="A111" s="51" t="s">
        <v>322</v>
      </c>
      <c r="B111" s="52" t="s">
        <v>323</v>
      </c>
      <c r="C111" s="99" t="s">
        <v>325</v>
      </c>
      <c r="D111" s="101">
        <v>2.0</v>
      </c>
      <c r="E111" s="102">
        <f t="shared" si="1"/>
        <v>1</v>
      </c>
      <c r="F111" s="103">
        <f t="shared" si="2"/>
        <v>2</v>
      </c>
      <c r="G111" s="103">
        <f t="shared" si="3"/>
        <v>0</v>
      </c>
      <c r="H111" s="89">
        <f t="shared" si="4"/>
        <v>0</v>
      </c>
      <c r="I111" s="104">
        <v>1.0</v>
      </c>
      <c r="J111" s="111"/>
      <c r="K111" s="106">
        <v>0.1</v>
      </c>
      <c r="L111" s="149">
        <v>0.0</v>
      </c>
      <c r="M111" s="108"/>
      <c r="N111" s="109"/>
      <c r="O111" s="110"/>
    </row>
    <row r="112">
      <c r="A112" s="51" t="s">
        <v>322</v>
      </c>
      <c r="B112" s="52" t="s">
        <v>323</v>
      </c>
      <c r="C112" s="53" t="s">
        <v>229</v>
      </c>
      <c r="D112" s="55">
        <v>3.0</v>
      </c>
      <c r="E112" s="56">
        <f t="shared" si="1"/>
        <v>1</v>
      </c>
      <c r="F112" s="57">
        <f t="shared" si="2"/>
        <v>3</v>
      </c>
      <c r="G112" s="57">
        <f t="shared" si="3"/>
        <v>0</v>
      </c>
      <c r="H112" s="58">
        <f t="shared" si="4"/>
        <v>0</v>
      </c>
      <c r="I112" s="59">
        <v>1.0</v>
      </c>
      <c r="J112" s="60"/>
      <c r="K112" s="61">
        <v>0.1</v>
      </c>
      <c r="L112" s="162">
        <v>0.0</v>
      </c>
      <c r="M112" s="63"/>
      <c r="N112" s="64"/>
      <c r="O112" s="65"/>
    </row>
    <row r="113">
      <c r="A113" s="51" t="s">
        <v>322</v>
      </c>
      <c r="B113" s="52" t="s">
        <v>323</v>
      </c>
      <c r="C113" s="53" t="s">
        <v>326</v>
      </c>
      <c r="D113" s="55">
        <v>3.0</v>
      </c>
      <c r="E113" s="56">
        <f t="shared" si="1"/>
        <v>1</v>
      </c>
      <c r="F113" s="57">
        <f t="shared" si="2"/>
        <v>3</v>
      </c>
      <c r="G113" s="57">
        <f t="shared" si="3"/>
        <v>0</v>
      </c>
      <c r="H113" s="58">
        <f t="shared" si="4"/>
        <v>0</v>
      </c>
      <c r="I113" s="59">
        <v>1.0</v>
      </c>
      <c r="J113" s="60"/>
      <c r="K113" s="61">
        <v>0.1</v>
      </c>
      <c r="L113" s="162">
        <v>0.0</v>
      </c>
      <c r="M113" s="63"/>
      <c r="N113" s="64"/>
      <c r="O113" s="65"/>
    </row>
    <row r="114">
      <c r="A114" s="51" t="s">
        <v>322</v>
      </c>
      <c r="B114" s="52" t="s">
        <v>323</v>
      </c>
      <c r="C114" s="53" t="s">
        <v>327</v>
      </c>
      <c r="D114" s="55">
        <v>1.5</v>
      </c>
      <c r="E114" s="56">
        <f t="shared" si="1"/>
        <v>1</v>
      </c>
      <c r="F114" s="57">
        <f t="shared" si="2"/>
        <v>1.5</v>
      </c>
      <c r="G114" s="57">
        <f t="shared" si="3"/>
        <v>0</v>
      </c>
      <c r="H114" s="58">
        <f t="shared" si="4"/>
        <v>0</v>
      </c>
      <c r="I114" s="59">
        <v>1.0</v>
      </c>
      <c r="J114" s="60"/>
      <c r="K114" s="61">
        <v>0.1</v>
      </c>
      <c r="L114" s="162">
        <v>0.0</v>
      </c>
      <c r="M114" s="63"/>
      <c r="N114" s="64"/>
      <c r="O114" s="65"/>
    </row>
    <row r="115">
      <c r="A115" s="51" t="s">
        <v>322</v>
      </c>
      <c r="B115" s="52" t="s">
        <v>323</v>
      </c>
      <c r="C115" s="53" t="s">
        <v>328</v>
      </c>
      <c r="D115" s="55">
        <v>2.5</v>
      </c>
      <c r="E115" s="56">
        <f t="shared" si="1"/>
        <v>1</v>
      </c>
      <c r="F115" s="57">
        <f t="shared" si="2"/>
        <v>2.5</v>
      </c>
      <c r="G115" s="57">
        <f t="shared" si="3"/>
        <v>0</v>
      </c>
      <c r="H115" s="58">
        <f t="shared" si="4"/>
        <v>0</v>
      </c>
      <c r="I115" s="59">
        <v>1.0</v>
      </c>
      <c r="J115" s="60"/>
      <c r="K115" s="61">
        <v>0.1</v>
      </c>
      <c r="L115" s="162">
        <v>0.0</v>
      </c>
      <c r="M115" s="63"/>
      <c r="N115" s="64"/>
      <c r="O115" s="65"/>
    </row>
    <row r="116">
      <c r="A116" s="51" t="s">
        <v>322</v>
      </c>
      <c r="B116" s="52" t="s">
        <v>323</v>
      </c>
      <c r="C116" s="53" t="s">
        <v>329</v>
      </c>
      <c r="D116" s="55">
        <v>4.0</v>
      </c>
      <c r="E116" s="56">
        <f t="shared" si="1"/>
        <v>1</v>
      </c>
      <c r="F116" s="57">
        <f t="shared" si="2"/>
        <v>4</v>
      </c>
      <c r="G116" s="57">
        <f t="shared" si="3"/>
        <v>0</v>
      </c>
      <c r="H116" s="58">
        <f t="shared" si="4"/>
        <v>0</v>
      </c>
      <c r="I116" s="59">
        <v>1.0</v>
      </c>
      <c r="J116" s="60"/>
      <c r="K116" s="61">
        <v>0.1</v>
      </c>
      <c r="L116" s="162">
        <v>0.0</v>
      </c>
      <c r="M116" s="63"/>
      <c r="N116" s="64"/>
      <c r="O116" s="65"/>
    </row>
    <row r="117">
      <c r="A117" s="51" t="s">
        <v>322</v>
      </c>
      <c r="B117" s="52" t="s">
        <v>323</v>
      </c>
      <c r="C117" s="53" t="s">
        <v>330</v>
      </c>
      <c r="D117" s="55">
        <v>1.8</v>
      </c>
      <c r="E117" s="56">
        <f t="shared" si="1"/>
        <v>1</v>
      </c>
      <c r="F117" s="57">
        <f t="shared" si="2"/>
        <v>1.8</v>
      </c>
      <c r="G117" s="57">
        <f t="shared" si="3"/>
        <v>0</v>
      </c>
      <c r="H117" s="58">
        <f t="shared" si="4"/>
        <v>0</v>
      </c>
      <c r="I117" s="59">
        <v>1.0</v>
      </c>
      <c r="J117" s="60"/>
      <c r="K117" s="61">
        <v>0.1</v>
      </c>
      <c r="L117" s="162">
        <v>0.0</v>
      </c>
      <c r="M117" s="63"/>
      <c r="N117" s="64"/>
      <c r="O117" s="65"/>
    </row>
    <row r="118">
      <c r="A118" s="51" t="s">
        <v>322</v>
      </c>
      <c r="B118" s="52" t="s">
        <v>323</v>
      </c>
      <c r="C118" s="99" t="s">
        <v>331</v>
      </c>
      <c r="D118" s="101">
        <v>0.5</v>
      </c>
      <c r="E118" s="102">
        <f t="shared" si="1"/>
        <v>1</v>
      </c>
      <c r="F118" s="103">
        <f t="shared" si="2"/>
        <v>0.5</v>
      </c>
      <c r="G118" s="103">
        <f t="shared" si="3"/>
        <v>0</v>
      </c>
      <c r="H118" s="89">
        <f t="shared" si="4"/>
        <v>0</v>
      </c>
      <c r="I118" s="104">
        <v>1.0</v>
      </c>
      <c r="J118" s="111"/>
      <c r="K118" s="106">
        <v>0.1</v>
      </c>
      <c r="L118" s="149">
        <v>0.0</v>
      </c>
      <c r="M118" s="108"/>
      <c r="N118" s="109"/>
      <c r="O118" s="110"/>
    </row>
    <row r="119">
      <c r="A119" s="51" t="s">
        <v>322</v>
      </c>
      <c r="B119" s="52" t="s">
        <v>323</v>
      </c>
      <c r="C119" s="99" t="s">
        <v>332</v>
      </c>
      <c r="D119" s="101">
        <v>1.0</v>
      </c>
      <c r="E119" s="102">
        <f t="shared" si="1"/>
        <v>1</v>
      </c>
      <c r="F119" s="103">
        <f t="shared" si="2"/>
        <v>1</v>
      </c>
      <c r="G119" s="103">
        <f t="shared" si="3"/>
        <v>0</v>
      </c>
      <c r="H119" s="89">
        <f t="shared" si="4"/>
        <v>0</v>
      </c>
      <c r="I119" s="104">
        <v>1.0</v>
      </c>
      <c r="J119" s="111"/>
      <c r="K119" s="106">
        <v>0.1</v>
      </c>
      <c r="L119" s="149">
        <v>0.0</v>
      </c>
      <c r="M119" s="108"/>
      <c r="N119" s="109"/>
      <c r="O119" s="110"/>
    </row>
    <row r="120">
      <c r="A120" s="51" t="s">
        <v>322</v>
      </c>
      <c r="B120" s="52" t="s">
        <v>323</v>
      </c>
      <c r="C120" s="53" t="s">
        <v>333</v>
      </c>
      <c r="D120" s="55">
        <v>0.5</v>
      </c>
      <c r="E120" s="56">
        <f t="shared" si="1"/>
        <v>1</v>
      </c>
      <c r="F120" s="57">
        <f t="shared" si="2"/>
        <v>0.5</v>
      </c>
      <c r="G120" s="57">
        <f t="shared" si="3"/>
        <v>0</v>
      </c>
      <c r="H120" s="58">
        <f t="shared" si="4"/>
        <v>0</v>
      </c>
      <c r="I120" s="59">
        <v>1.0</v>
      </c>
      <c r="J120" s="60"/>
      <c r="K120" s="61">
        <v>0.1</v>
      </c>
      <c r="L120" s="162">
        <v>0.0</v>
      </c>
      <c r="M120" s="63"/>
      <c r="N120" s="64"/>
      <c r="O120" s="65"/>
    </row>
    <row r="121">
      <c r="A121" s="51" t="s">
        <v>322</v>
      </c>
      <c r="B121" s="52" t="s">
        <v>323</v>
      </c>
      <c r="C121" s="53" t="s">
        <v>231</v>
      </c>
      <c r="D121" s="55">
        <v>2.5</v>
      </c>
      <c r="E121" s="56">
        <f t="shared" si="1"/>
        <v>1</v>
      </c>
      <c r="F121" s="57">
        <f t="shared" si="2"/>
        <v>2.5</v>
      </c>
      <c r="G121" s="57">
        <f t="shared" si="3"/>
        <v>0</v>
      </c>
      <c r="H121" s="58">
        <f t="shared" si="4"/>
        <v>0</v>
      </c>
      <c r="I121" s="59">
        <v>1.0</v>
      </c>
      <c r="J121" s="60"/>
      <c r="K121" s="61">
        <v>0.1</v>
      </c>
      <c r="L121" s="162">
        <v>0.0</v>
      </c>
      <c r="M121" s="63"/>
      <c r="N121" s="64"/>
      <c r="O121" s="65"/>
    </row>
    <row r="122">
      <c r="A122" s="51" t="s">
        <v>322</v>
      </c>
      <c r="B122" s="52" t="s">
        <v>323</v>
      </c>
      <c r="C122" s="53" t="s">
        <v>334</v>
      </c>
      <c r="D122" s="55">
        <v>1.5</v>
      </c>
      <c r="E122" s="56">
        <f t="shared" si="1"/>
        <v>1</v>
      </c>
      <c r="F122" s="57">
        <f t="shared" si="2"/>
        <v>1.5</v>
      </c>
      <c r="G122" s="57">
        <f t="shared" si="3"/>
        <v>0</v>
      </c>
      <c r="H122" s="58">
        <f t="shared" si="4"/>
        <v>0</v>
      </c>
      <c r="I122" s="59">
        <v>1.0</v>
      </c>
      <c r="J122" s="60"/>
      <c r="K122" s="61">
        <v>0.1</v>
      </c>
      <c r="L122" s="162">
        <v>0.0</v>
      </c>
      <c r="M122" s="63"/>
      <c r="N122" s="64"/>
      <c r="O122" s="65"/>
    </row>
    <row r="123">
      <c r="A123" s="51" t="s">
        <v>322</v>
      </c>
      <c r="B123" s="52" t="s">
        <v>323</v>
      </c>
      <c r="C123" s="53" t="s">
        <v>335</v>
      </c>
      <c r="D123" s="55">
        <v>2.5</v>
      </c>
      <c r="E123" s="56">
        <f t="shared" si="1"/>
        <v>1</v>
      </c>
      <c r="F123" s="57">
        <f t="shared" si="2"/>
        <v>2.5</v>
      </c>
      <c r="G123" s="57">
        <f t="shared" si="3"/>
        <v>0</v>
      </c>
      <c r="H123" s="58">
        <f t="shared" si="4"/>
        <v>0</v>
      </c>
      <c r="I123" s="59">
        <v>1.0</v>
      </c>
      <c r="J123" s="60"/>
      <c r="K123" s="61">
        <v>0.1</v>
      </c>
      <c r="L123" s="162">
        <v>0.0</v>
      </c>
      <c r="M123" s="63"/>
      <c r="N123" s="64"/>
      <c r="O123" s="65"/>
    </row>
    <row r="124">
      <c r="A124" s="51" t="s">
        <v>322</v>
      </c>
      <c r="B124" s="52" t="s">
        <v>323</v>
      </c>
      <c r="C124" s="53" t="s">
        <v>336</v>
      </c>
      <c r="D124" s="55">
        <v>2.5</v>
      </c>
      <c r="E124" s="56">
        <f t="shared" si="1"/>
        <v>1</v>
      </c>
      <c r="F124" s="57">
        <f t="shared" si="2"/>
        <v>2.5</v>
      </c>
      <c r="G124" s="57">
        <f t="shared" si="3"/>
        <v>0</v>
      </c>
      <c r="H124" s="58">
        <f t="shared" si="4"/>
        <v>0</v>
      </c>
      <c r="I124" s="59">
        <v>1.0</v>
      </c>
      <c r="J124" s="60"/>
      <c r="K124" s="61">
        <v>0.1</v>
      </c>
      <c r="L124" s="162">
        <v>0.0</v>
      </c>
      <c r="M124" s="63"/>
      <c r="N124" s="64"/>
      <c r="O124" s="65"/>
    </row>
    <row r="125">
      <c r="A125" s="51" t="s">
        <v>322</v>
      </c>
      <c r="B125" s="52" t="s">
        <v>323</v>
      </c>
      <c r="C125" s="99" t="s">
        <v>337</v>
      </c>
      <c r="D125" s="101">
        <v>2.0</v>
      </c>
      <c r="E125" s="56">
        <f t="shared" si="1"/>
        <v>1</v>
      </c>
      <c r="F125" s="103">
        <f t="shared" si="2"/>
        <v>2</v>
      </c>
      <c r="G125" s="103">
        <f t="shared" si="3"/>
        <v>0</v>
      </c>
      <c r="H125" s="89">
        <f t="shared" si="4"/>
        <v>0</v>
      </c>
      <c r="I125" s="104">
        <v>1.0</v>
      </c>
      <c r="J125" s="111"/>
      <c r="K125" s="106">
        <v>0.1</v>
      </c>
      <c r="L125" s="149">
        <v>0.0</v>
      </c>
      <c r="M125" s="108"/>
      <c r="N125" s="109"/>
      <c r="O125" s="110"/>
    </row>
    <row r="126">
      <c r="A126" s="51" t="s">
        <v>322</v>
      </c>
      <c r="B126" s="52" t="s">
        <v>323</v>
      </c>
      <c r="C126" s="99" t="s">
        <v>338</v>
      </c>
      <c r="D126" s="101">
        <v>1.3</v>
      </c>
      <c r="E126" s="56">
        <f t="shared" si="1"/>
        <v>1</v>
      </c>
      <c r="F126" s="103">
        <f t="shared" si="2"/>
        <v>1.3</v>
      </c>
      <c r="G126" s="103">
        <f t="shared" si="3"/>
        <v>0</v>
      </c>
      <c r="H126" s="89">
        <f t="shared" si="4"/>
        <v>0</v>
      </c>
      <c r="I126" s="104">
        <v>1.0</v>
      </c>
      <c r="J126" s="111"/>
      <c r="K126" s="106">
        <v>0.1</v>
      </c>
      <c r="L126" s="149">
        <v>0.0</v>
      </c>
      <c r="M126" s="108"/>
      <c r="N126" s="109"/>
      <c r="O126" s="110"/>
    </row>
    <row r="127">
      <c r="A127" s="51" t="s">
        <v>322</v>
      </c>
      <c r="B127" s="52" t="s">
        <v>323</v>
      </c>
      <c r="C127" s="99" t="s">
        <v>339</v>
      </c>
      <c r="D127" s="101">
        <v>1.3</v>
      </c>
      <c r="E127" s="56">
        <f t="shared" si="1"/>
        <v>1</v>
      </c>
      <c r="F127" s="103">
        <f t="shared" si="2"/>
        <v>1.3</v>
      </c>
      <c r="G127" s="103">
        <f t="shared" si="3"/>
        <v>0</v>
      </c>
      <c r="H127" s="89">
        <f t="shared" si="4"/>
        <v>0</v>
      </c>
      <c r="I127" s="104">
        <v>1.0</v>
      </c>
      <c r="J127" s="111"/>
      <c r="K127" s="106">
        <v>0.1</v>
      </c>
      <c r="L127" s="149">
        <v>0.0</v>
      </c>
      <c r="M127" s="108"/>
      <c r="N127" s="109"/>
      <c r="O127" s="110"/>
    </row>
    <row r="128">
      <c r="A128" s="51" t="s">
        <v>322</v>
      </c>
      <c r="B128" s="52" t="s">
        <v>323</v>
      </c>
      <c r="C128" s="99" t="s">
        <v>340</v>
      </c>
      <c r="D128" s="101">
        <v>1.3</v>
      </c>
      <c r="E128" s="56">
        <f t="shared" si="1"/>
        <v>1</v>
      </c>
      <c r="F128" s="103">
        <f t="shared" si="2"/>
        <v>1.3</v>
      </c>
      <c r="G128" s="103">
        <f t="shared" si="3"/>
        <v>0</v>
      </c>
      <c r="H128" s="89">
        <f t="shared" si="4"/>
        <v>0</v>
      </c>
      <c r="I128" s="104">
        <v>1.0</v>
      </c>
      <c r="J128" s="111"/>
      <c r="K128" s="106">
        <v>0.1</v>
      </c>
      <c r="L128" s="149">
        <v>0.0</v>
      </c>
      <c r="M128" s="108"/>
      <c r="N128" s="109"/>
      <c r="O128" s="110"/>
    </row>
    <row r="129">
      <c r="A129" s="51" t="s">
        <v>322</v>
      </c>
      <c r="B129" s="52" t="s">
        <v>323</v>
      </c>
      <c r="C129" s="99" t="s">
        <v>341</v>
      </c>
      <c r="D129" s="101">
        <v>2.5</v>
      </c>
      <c r="E129" s="56">
        <f t="shared" si="1"/>
        <v>1</v>
      </c>
      <c r="F129" s="103">
        <f t="shared" si="2"/>
        <v>2.5</v>
      </c>
      <c r="G129" s="103">
        <f t="shared" si="3"/>
        <v>0</v>
      </c>
      <c r="H129" s="89">
        <f t="shared" si="4"/>
        <v>0</v>
      </c>
      <c r="I129" s="104">
        <v>1.0</v>
      </c>
      <c r="J129" s="111"/>
      <c r="K129" s="106">
        <v>0.1</v>
      </c>
      <c r="L129" s="149">
        <v>0.0</v>
      </c>
      <c r="M129" s="108"/>
      <c r="N129" s="109"/>
      <c r="O129" s="110"/>
    </row>
    <row r="130">
      <c r="A130" s="51" t="s">
        <v>322</v>
      </c>
      <c r="B130" s="52" t="s">
        <v>323</v>
      </c>
      <c r="C130" s="99" t="s">
        <v>224</v>
      </c>
      <c r="D130" s="101">
        <v>1.0</v>
      </c>
      <c r="E130" s="56">
        <f t="shared" si="1"/>
        <v>1</v>
      </c>
      <c r="F130" s="103">
        <f t="shared" si="2"/>
        <v>1</v>
      </c>
      <c r="G130" s="103">
        <f t="shared" si="3"/>
        <v>0</v>
      </c>
      <c r="H130" s="89">
        <f t="shared" si="4"/>
        <v>0</v>
      </c>
      <c r="I130" s="104">
        <v>1.0</v>
      </c>
      <c r="J130" s="111"/>
      <c r="K130" s="106">
        <v>0.1</v>
      </c>
      <c r="L130" s="149">
        <v>0.0</v>
      </c>
      <c r="M130" s="108"/>
      <c r="N130" s="109"/>
      <c r="O130" s="110"/>
    </row>
    <row r="131">
      <c r="A131" s="51" t="s">
        <v>322</v>
      </c>
      <c r="B131" s="52" t="s">
        <v>323</v>
      </c>
      <c r="C131" s="99" t="s">
        <v>342</v>
      </c>
      <c r="D131" s="101">
        <v>2.0</v>
      </c>
      <c r="E131" s="56">
        <f t="shared" si="1"/>
        <v>1</v>
      </c>
      <c r="F131" s="103">
        <f t="shared" si="2"/>
        <v>2</v>
      </c>
      <c r="G131" s="103">
        <f t="shared" si="3"/>
        <v>0</v>
      </c>
      <c r="H131" s="89">
        <f t="shared" si="4"/>
        <v>0</v>
      </c>
      <c r="I131" s="104">
        <v>1.0</v>
      </c>
      <c r="J131" s="111"/>
      <c r="K131" s="106">
        <v>0.1</v>
      </c>
      <c r="L131" s="149">
        <v>0.0</v>
      </c>
      <c r="M131" s="108"/>
      <c r="N131" s="109"/>
      <c r="O131" s="110"/>
    </row>
    <row r="132">
      <c r="A132" s="51" t="s">
        <v>322</v>
      </c>
      <c r="B132" s="52" t="s">
        <v>323</v>
      </c>
      <c r="C132" s="99" t="s">
        <v>343</v>
      </c>
      <c r="D132" s="101">
        <v>3.0</v>
      </c>
      <c r="E132" s="56">
        <f t="shared" si="1"/>
        <v>1</v>
      </c>
      <c r="F132" s="103">
        <f t="shared" si="2"/>
        <v>3</v>
      </c>
      <c r="G132" s="103">
        <f t="shared" si="3"/>
        <v>0</v>
      </c>
      <c r="H132" s="89">
        <f t="shared" si="4"/>
        <v>0</v>
      </c>
      <c r="I132" s="104">
        <v>1.0</v>
      </c>
      <c r="J132" s="111"/>
      <c r="K132" s="106">
        <v>0.1</v>
      </c>
      <c r="L132" s="149">
        <v>0.0</v>
      </c>
      <c r="M132" s="108"/>
      <c r="N132" s="109"/>
      <c r="O132" s="110"/>
    </row>
    <row r="133" hidden="1" outlineLevel="1">
      <c r="A133" s="51" t="s">
        <v>322</v>
      </c>
      <c r="B133" s="52" t="s">
        <v>323</v>
      </c>
      <c r="C133" s="99" t="s">
        <v>344</v>
      </c>
      <c r="D133" s="101">
        <v>3.0</v>
      </c>
      <c r="E133" s="56">
        <f t="shared" si="1"/>
        <v>1</v>
      </c>
      <c r="F133" s="103">
        <f t="shared" si="2"/>
        <v>3</v>
      </c>
      <c r="G133" s="103">
        <f t="shared" si="3"/>
        <v>0</v>
      </c>
      <c r="H133" s="89">
        <f t="shared" si="4"/>
        <v>0</v>
      </c>
      <c r="I133" s="104">
        <v>1.0</v>
      </c>
      <c r="J133" s="111"/>
      <c r="K133" s="106">
        <v>0.1</v>
      </c>
      <c r="L133" s="149">
        <v>0.0</v>
      </c>
      <c r="M133" s="108"/>
      <c r="N133" s="109"/>
      <c r="O133" s="110" t="s">
        <v>345</v>
      </c>
    </row>
    <row r="134" hidden="1" outlineLevel="1">
      <c r="A134" s="51" t="s">
        <v>322</v>
      </c>
      <c r="B134" s="52" t="s">
        <v>323</v>
      </c>
      <c r="C134" s="99" t="s">
        <v>346</v>
      </c>
      <c r="D134" s="101">
        <v>3.0</v>
      </c>
      <c r="E134" s="56">
        <f t="shared" si="1"/>
        <v>1</v>
      </c>
      <c r="F134" s="103">
        <f t="shared" si="2"/>
        <v>3</v>
      </c>
      <c r="G134" s="103">
        <f t="shared" si="3"/>
        <v>0</v>
      </c>
      <c r="H134" s="89">
        <f t="shared" si="4"/>
        <v>0</v>
      </c>
      <c r="I134" s="104">
        <v>1.0</v>
      </c>
      <c r="J134" s="111"/>
      <c r="K134" s="106">
        <v>0.1</v>
      </c>
      <c r="L134" s="149">
        <v>0.0</v>
      </c>
      <c r="M134" s="108"/>
      <c r="N134" s="109"/>
      <c r="O134" s="110" t="s">
        <v>345</v>
      </c>
    </row>
    <row r="135" collapsed="1">
      <c r="A135" s="51" t="s">
        <v>322</v>
      </c>
      <c r="B135" s="52" t="s">
        <v>323</v>
      </c>
      <c r="C135" s="99" t="s">
        <v>347</v>
      </c>
      <c r="D135" s="101">
        <v>2.5</v>
      </c>
      <c r="E135" s="56">
        <f t="shared" si="1"/>
        <v>1</v>
      </c>
      <c r="F135" s="103">
        <f t="shared" si="2"/>
        <v>2.5</v>
      </c>
      <c r="G135" s="103">
        <f t="shared" si="3"/>
        <v>0</v>
      </c>
      <c r="H135" s="89">
        <f t="shared" si="4"/>
        <v>0</v>
      </c>
      <c r="I135" s="104">
        <v>1.0</v>
      </c>
      <c r="J135" s="111"/>
      <c r="K135" s="106">
        <v>0.1</v>
      </c>
      <c r="L135" s="149">
        <v>0.0</v>
      </c>
      <c r="M135" s="108"/>
      <c r="N135" s="109"/>
      <c r="O135" s="110"/>
    </row>
    <row r="136">
      <c r="A136" s="51" t="s">
        <v>322</v>
      </c>
      <c r="B136" s="52" t="s">
        <v>323</v>
      </c>
      <c r="C136" s="99" t="s">
        <v>348</v>
      </c>
      <c r="D136" s="101">
        <v>6.0</v>
      </c>
      <c r="E136" s="56">
        <f t="shared" si="1"/>
        <v>1</v>
      </c>
      <c r="F136" s="103">
        <f t="shared" si="2"/>
        <v>6</v>
      </c>
      <c r="G136" s="103">
        <f t="shared" si="3"/>
        <v>0</v>
      </c>
      <c r="H136" s="89">
        <f t="shared" si="4"/>
        <v>0</v>
      </c>
      <c r="I136" s="104">
        <v>1.0</v>
      </c>
      <c r="J136" s="111"/>
      <c r="K136" s="106">
        <v>0.1</v>
      </c>
      <c r="L136" s="149">
        <v>0.0</v>
      </c>
      <c r="M136" s="108"/>
      <c r="N136" s="109"/>
      <c r="O136" s="110"/>
    </row>
    <row r="137">
      <c r="A137" s="51" t="s">
        <v>322</v>
      </c>
      <c r="B137" s="52" t="s">
        <v>323</v>
      </c>
      <c r="C137" s="99" t="s">
        <v>349</v>
      </c>
      <c r="D137" s="101">
        <v>2.0</v>
      </c>
      <c r="E137" s="56">
        <f t="shared" si="1"/>
        <v>1</v>
      </c>
      <c r="F137" s="103">
        <f t="shared" si="2"/>
        <v>2</v>
      </c>
      <c r="G137" s="103">
        <f t="shared" si="3"/>
        <v>0</v>
      </c>
      <c r="H137" s="89">
        <f t="shared" si="4"/>
        <v>0</v>
      </c>
      <c r="I137" s="104">
        <v>1.0</v>
      </c>
      <c r="J137" s="111"/>
      <c r="K137" s="106">
        <v>0.1</v>
      </c>
      <c r="L137" s="149">
        <v>0.0</v>
      </c>
      <c r="M137" s="108"/>
      <c r="N137" s="109"/>
      <c r="O137" s="110"/>
    </row>
    <row r="138">
      <c r="A138" s="51" t="s">
        <v>322</v>
      </c>
      <c r="B138" s="52" t="s">
        <v>323</v>
      </c>
      <c r="C138" s="99" t="s">
        <v>350</v>
      </c>
      <c r="D138" s="101">
        <v>1.5</v>
      </c>
      <c r="E138" s="56">
        <f t="shared" si="1"/>
        <v>1</v>
      </c>
      <c r="F138" s="103">
        <f t="shared" si="2"/>
        <v>1.5</v>
      </c>
      <c r="G138" s="103">
        <f t="shared" si="3"/>
        <v>0</v>
      </c>
      <c r="H138" s="89">
        <f t="shared" si="4"/>
        <v>0</v>
      </c>
      <c r="I138" s="104">
        <v>1.0</v>
      </c>
      <c r="J138" s="111"/>
      <c r="K138" s="106">
        <v>0.1</v>
      </c>
      <c r="L138" s="149">
        <v>0.0</v>
      </c>
      <c r="M138" s="108"/>
      <c r="N138" s="109"/>
      <c r="O138" s="110"/>
    </row>
    <row r="139">
      <c r="A139" s="51" t="s">
        <v>322</v>
      </c>
      <c r="B139" s="52" t="s">
        <v>323</v>
      </c>
      <c r="C139" s="99" t="s">
        <v>351</v>
      </c>
      <c r="D139" s="101">
        <v>2.0</v>
      </c>
      <c r="E139" s="56">
        <f t="shared" si="1"/>
        <v>1</v>
      </c>
      <c r="F139" s="103">
        <f t="shared" si="2"/>
        <v>2</v>
      </c>
      <c r="G139" s="103">
        <f t="shared" si="3"/>
        <v>0</v>
      </c>
      <c r="H139" s="89">
        <f t="shared" si="4"/>
        <v>0</v>
      </c>
      <c r="I139" s="104">
        <v>1.0</v>
      </c>
      <c r="J139" s="111"/>
      <c r="K139" s="106">
        <v>0.1</v>
      </c>
      <c r="L139" s="149">
        <v>0.0</v>
      </c>
      <c r="M139" s="108"/>
      <c r="N139" s="109"/>
      <c r="O139" s="110"/>
    </row>
    <row r="140">
      <c r="A140" s="51" t="s">
        <v>322</v>
      </c>
      <c r="B140" s="52" t="s">
        <v>323</v>
      </c>
      <c r="C140" s="99" t="s">
        <v>352</v>
      </c>
      <c r="D140" s="101">
        <v>2.0</v>
      </c>
      <c r="E140" s="56">
        <f t="shared" si="1"/>
        <v>1</v>
      </c>
      <c r="F140" s="103">
        <f t="shared" si="2"/>
        <v>2</v>
      </c>
      <c r="G140" s="103">
        <f t="shared" si="3"/>
        <v>0</v>
      </c>
      <c r="H140" s="89">
        <f t="shared" si="4"/>
        <v>0</v>
      </c>
      <c r="I140" s="104">
        <v>1.0</v>
      </c>
      <c r="J140" s="111"/>
      <c r="K140" s="106">
        <v>0.1</v>
      </c>
      <c r="L140" s="149">
        <v>0.0</v>
      </c>
      <c r="M140" s="108"/>
      <c r="N140" s="109"/>
      <c r="O140" s="110"/>
    </row>
    <row r="141">
      <c r="A141" s="51" t="s">
        <v>322</v>
      </c>
      <c r="B141" s="52" t="s">
        <v>323</v>
      </c>
      <c r="C141" s="99" t="s">
        <v>353</v>
      </c>
      <c r="D141" s="101">
        <v>3.0</v>
      </c>
      <c r="E141" s="56">
        <f t="shared" si="1"/>
        <v>1</v>
      </c>
      <c r="F141" s="103">
        <f t="shared" si="2"/>
        <v>3</v>
      </c>
      <c r="G141" s="103">
        <f t="shared" si="3"/>
        <v>0</v>
      </c>
      <c r="H141" s="89">
        <f t="shared" si="4"/>
        <v>0</v>
      </c>
      <c r="I141" s="104">
        <v>1.0</v>
      </c>
      <c r="J141" s="111"/>
      <c r="K141" s="106">
        <v>0.1</v>
      </c>
      <c r="L141" s="149">
        <v>0.0</v>
      </c>
      <c r="M141" s="108"/>
      <c r="N141" s="109"/>
      <c r="O141" s="110"/>
    </row>
    <row r="142">
      <c r="A142" s="51" t="s">
        <v>322</v>
      </c>
      <c r="B142" s="52" t="s">
        <v>323</v>
      </c>
      <c r="C142" s="99" t="s">
        <v>354</v>
      </c>
      <c r="D142" s="101">
        <v>3.0</v>
      </c>
      <c r="E142" s="102">
        <f t="shared" si="1"/>
        <v>1</v>
      </c>
      <c r="F142" s="103">
        <f t="shared" si="2"/>
        <v>3</v>
      </c>
      <c r="G142" s="103">
        <f t="shared" si="3"/>
        <v>0</v>
      </c>
      <c r="H142" s="89">
        <f t="shared" si="4"/>
        <v>0</v>
      </c>
      <c r="I142" s="104">
        <v>1.0</v>
      </c>
      <c r="J142" s="111"/>
      <c r="K142" s="106">
        <v>0.1</v>
      </c>
      <c r="L142" s="149">
        <v>0.0</v>
      </c>
      <c r="M142" s="108"/>
      <c r="N142" s="109"/>
      <c r="O142" s="110"/>
    </row>
    <row r="143">
      <c r="A143" s="51" t="s">
        <v>322</v>
      </c>
      <c r="B143" s="52" t="s">
        <v>323</v>
      </c>
      <c r="C143" s="99" t="s">
        <v>355</v>
      </c>
      <c r="D143" s="101">
        <v>2.0</v>
      </c>
      <c r="E143" s="102">
        <f t="shared" si="1"/>
        <v>1</v>
      </c>
      <c r="F143" s="103">
        <f t="shared" si="2"/>
        <v>2</v>
      </c>
      <c r="G143" s="103">
        <f t="shared" si="3"/>
        <v>0</v>
      </c>
      <c r="H143" s="89">
        <f t="shared" si="4"/>
        <v>0</v>
      </c>
      <c r="I143" s="104">
        <v>1.0</v>
      </c>
      <c r="J143" s="111"/>
      <c r="K143" s="106">
        <v>0.1</v>
      </c>
      <c r="L143" s="149">
        <v>0.0</v>
      </c>
      <c r="M143" s="108"/>
      <c r="N143" s="109"/>
      <c r="O143" s="110"/>
    </row>
    <row r="144">
      <c r="A144" s="51" t="s">
        <v>322</v>
      </c>
      <c r="B144" s="52" t="s">
        <v>323</v>
      </c>
      <c r="C144" s="99" t="s">
        <v>356</v>
      </c>
      <c r="D144" s="101">
        <v>2.0</v>
      </c>
      <c r="E144" s="56">
        <f t="shared" si="1"/>
        <v>1</v>
      </c>
      <c r="F144" s="103">
        <f t="shared" si="2"/>
        <v>2</v>
      </c>
      <c r="G144" s="103">
        <f t="shared" si="3"/>
        <v>0</v>
      </c>
      <c r="H144" s="89">
        <f t="shared" si="4"/>
        <v>0</v>
      </c>
      <c r="I144" s="104">
        <v>1.0</v>
      </c>
      <c r="J144" s="111"/>
      <c r="K144" s="106">
        <v>0.1</v>
      </c>
      <c r="L144" s="149">
        <v>0.0</v>
      </c>
      <c r="M144" s="108"/>
      <c r="N144" s="109"/>
      <c r="O144" s="110"/>
    </row>
    <row r="145">
      <c r="A145" s="51" t="s">
        <v>322</v>
      </c>
      <c r="B145" s="52" t="s">
        <v>323</v>
      </c>
      <c r="C145" s="53" t="s">
        <v>357</v>
      </c>
      <c r="D145" s="55">
        <v>2.0</v>
      </c>
      <c r="E145" s="56">
        <f t="shared" si="1"/>
        <v>1</v>
      </c>
      <c r="F145" s="57">
        <f t="shared" si="2"/>
        <v>2</v>
      </c>
      <c r="G145" s="57">
        <f t="shared" si="3"/>
        <v>0</v>
      </c>
      <c r="H145" s="58">
        <f t="shared" si="4"/>
        <v>0</v>
      </c>
      <c r="I145" s="59">
        <v>1.0</v>
      </c>
      <c r="J145" s="60"/>
      <c r="K145" s="61">
        <v>0.1</v>
      </c>
      <c r="L145" s="162">
        <v>0.0</v>
      </c>
      <c r="M145" s="63"/>
      <c r="N145" s="64"/>
      <c r="O145" s="65"/>
    </row>
    <row r="146">
      <c r="A146" s="51" t="s">
        <v>322</v>
      </c>
      <c r="B146" s="52" t="s">
        <v>323</v>
      </c>
      <c r="C146" s="99" t="s">
        <v>358</v>
      </c>
      <c r="D146" s="101">
        <v>2.0</v>
      </c>
      <c r="E146" s="56">
        <f t="shared" si="1"/>
        <v>1</v>
      </c>
      <c r="F146" s="103">
        <f t="shared" si="2"/>
        <v>2</v>
      </c>
      <c r="G146" s="103">
        <f t="shared" si="3"/>
        <v>0</v>
      </c>
      <c r="H146" s="89">
        <f t="shared" si="4"/>
        <v>0</v>
      </c>
      <c r="I146" s="104">
        <v>1.0</v>
      </c>
      <c r="J146" s="111"/>
      <c r="K146" s="106">
        <v>0.1</v>
      </c>
      <c r="L146" s="149">
        <v>0.0</v>
      </c>
      <c r="M146" s="108"/>
      <c r="N146" s="109"/>
      <c r="O146" s="110"/>
    </row>
    <row r="147">
      <c r="A147" s="51" t="s">
        <v>322</v>
      </c>
      <c r="B147" s="52" t="s">
        <v>323</v>
      </c>
      <c r="C147" s="99" t="s">
        <v>359</v>
      </c>
      <c r="D147" s="101">
        <v>2.0</v>
      </c>
      <c r="E147" s="56">
        <f t="shared" si="1"/>
        <v>1</v>
      </c>
      <c r="F147" s="103">
        <f t="shared" si="2"/>
        <v>2</v>
      </c>
      <c r="G147" s="103">
        <f t="shared" si="3"/>
        <v>0</v>
      </c>
      <c r="H147" s="89">
        <f t="shared" si="4"/>
        <v>0</v>
      </c>
      <c r="I147" s="104">
        <v>1.0</v>
      </c>
      <c r="J147" s="111"/>
      <c r="K147" s="106">
        <v>0.1</v>
      </c>
      <c r="L147" s="149">
        <v>0.0</v>
      </c>
      <c r="M147" s="108"/>
      <c r="N147" s="109"/>
      <c r="O147" s="110"/>
    </row>
    <row r="148">
      <c r="A148" s="51" t="s">
        <v>322</v>
      </c>
      <c r="B148" s="52" t="s">
        <v>323</v>
      </c>
      <c r="C148" s="99" t="s">
        <v>360</v>
      </c>
      <c r="D148" s="101">
        <v>3.5</v>
      </c>
      <c r="E148" s="56">
        <f t="shared" si="1"/>
        <v>1</v>
      </c>
      <c r="F148" s="103">
        <f t="shared" si="2"/>
        <v>3.5</v>
      </c>
      <c r="G148" s="103">
        <f t="shared" si="3"/>
        <v>0</v>
      </c>
      <c r="H148" s="89">
        <f t="shared" si="4"/>
        <v>0</v>
      </c>
      <c r="I148" s="104">
        <v>1.0</v>
      </c>
      <c r="J148" s="111"/>
      <c r="K148" s="106">
        <v>0.1</v>
      </c>
      <c r="L148" s="149">
        <v>0.0</v>
      </c>
      <c r="M148" s="108"/>
      <c r="N148" s="109"/>
      <c r="O148" s="110"/>
    </row>
    <row r="149">
      <c r="A149" s="51" t="s">
        <v>322</v>
      </c>
      <c r="B149" s="52" t="s">
        <v>323</v>
      </c>
      <c r="C149" s="99" t="s">
        <v>361</v>
      </c>
      <c r="D149" s="101">
        <v>2.5</v>
      </c>
      <c r="E149" s="56">
        <f t="shared" si="1"/>
        <v>1</v>
      </c>
      <c r="F149" s="103">
        <f t="shared" si="2"/>
        <v>2.5</v>
      </c>
      <c r="G149" s="103">
        <f t="shared" si="3"/>
        <v>0</v>
      </c>
      <c r="H149" s="89">
        <f t="shared" si="4"/>
        <v>0</v>
      </c>
      <c r="I149" s="104">
        <v>1.0</v>
      </c>
      <c r="J149" s="111"/>
      <c r="K149" s="106">
        <v>0.1</v>
      </c>
      <c r="L149" s="149">
        <v>0.0</v>
      </c>
      <c r="M149" s="108"/>
      <c r="N149" s="109"/>
      <c r="O149" s="110"/>
    </row>
    <row r="150">
      <c r="A150" s="51" t="s">
        <v>322</v>
      </c>
      <c r="B150" s="52" t="s">
        <v>323</v>
      </c>
      <c r="C150" s="99" t="s">
        <v>362</v>
      </c>
      <c r="D150" s="101">
        <v>1.5</v>
      </c>
      <c r="E150" s="56">
        <f t="shared" si="1"/>
        <v>1</v>
      </c>
      <c r="F150" s="103">
        <f t="shared" si="2"/>
        <v>1.5</v>
      </c>
      <c r="G150" s="103">
        <f t="shared" si="3"/>
        <v>0</v>
      </c>
      <c r="H150" s="89">
        <f t="shared" si="4"/>
        <v>0</v>
      </c>
      <c r="I150" s="104">
        <v>1.0</v>
      </c>
      <c r="J150" s="111"/>
      <c r="K150" s="106">
        <v>0.1</v>
      </c>
      <c r="L150" s="149">
        <v>0.0</v>
      </c>
      <c r="M150" s="108"/>
      <c r="N150" s="109"/>
      <c r="O150" s="110"/>
    </row>
    <row r="151">
      <c r="A151" s="51" t="s">
        <v>322</v>
      </c>
      <c r="B151" s="52" t="s">
        <v>323</v>
      </c>
      <c r="C151" s="99" t="s">
        <v>363</v>
      </c>
      <c r="D151" s="101">
        <v>1.5</v>
      </c>
      <c r="E151" s="102">
        <f t="shared" si="1"/>
        <v>0.9266666667</v>
      </c>
      <c r="F151" s="103">
        <f t="shared" si="2"/>
        <v>1.39</v>
      </c>
      <c r="G151" s="103">
        <f t="shared" si="3"/>
        <v>0.11</v>
      </c>
      <c r="H151" s="89">
        <f t="shared" si="4"/>
        <v>0.1</v>
      </c>
      <c r="I151" s="104">
        <v>80.0</v>
      </c>
      <c r="J151" s="111">
        <v>8.0</v>
      </c>
      <c r="K151" s="106">
        <v>0.1</v>
      </c>
      <c r="L151" s="149">
        <v>0.0</v>
      </c>
      <c r="M151" s="108"/>
      <c r="N151" s="109"/>
      <c r="O151" s="110"/>
    </row>
    <row r="152">
      <c r="A152" s="51" t="s">
        <v>322</v>
      </c>
      <c r="B152" s="52" t="s">
        <v>323</v>
      </c>
      <c r="C152" s="99" t="s">
        <v>364</v>
      </c>
      <c r="D152" s="101">
        <v>3.0</v>
      </c>
      <c r="E152" s="56">
        <f t="shared" si="1"/>
        <v>1</v>
      </c>
      <c r="F152" s="103">
        <f t="shared" si="2"/>
        <v>3</v>
      </c>
      <c r="G152" s="103">
        <f t="shared" si="3"/>
        <v>0</v>
      </c>
      <c r="H152" s="89">
        <f t="shared" si="4"/>
        <v>0</v>
      </c>
      <c r="I152" s="104">
        <v>1.0</v>
      </c>
      <c r="J152" s="111"/>
      <c r="K152" s="106">
        <v>0.1</v>
      </c>
      <c r="L152" s="149">
        <v>0.0</v>
      </c>
      <c r="M152" s="108"/>
      <c r="N152" s="109"/>
      <c r="O152" s="110"/>
    </row>
    <row r="153">
      <c r="A153" s="51" t="s">
        <v>322</v>
      </c>
      <c r="B153" s="52" t="s">
        <v>323</v>
      </c>
      <c r="C153" s="99" t="s">
        <v>365</v>
      </c>
      <c r="D153" s="101">
        <v>1.5</v>
      </c>
      <c r="E153" s="56">
        <f t="shared" si="1"/>
        <v>1</v>
      </c>
      <c r="F153" s="103">
        <f t="shared" si="2"/>
        <v>1.5</v>
      </c>
      <c r="G153" s="103">
        <f t="shared" si="3"/>
        <v>0</v>
      </c>
      <c r="H153" s="89">
        <f t="shared" si="4"/>
        <v>0</v>
      </c>
      <c r="I153" s="104">
        <v>1.0</v>
      </c>
      <c r="J153" s="111"/>
      <c r="K153" s="106">
        <v>0.1</v>
      </c>
      <c r="L153" s="149">
        <v>0.0</v>
      </c>
      <c r="M153" s="108"/>
      <c r="N153" s="109"/>
      <c r="O153" s="110"/>
    </row>
    <row r="154">
      <c r="A154" s="51" t="s">
        <v>322</v>
      </c>
      <c r="B154" s="52" t="s">
        <v>323</v>
      </c>
      <c r="C154" s="99" t="s">
        <v>366</v>
      </c>
      <c r="D154" s="101">
        <v>2.0</v>
      </c>
      <c r="E154" s="56">
        <f t="shared" si="1"/>
        <v>1</v>
      </c>
      <c r="F154" s="103">
        <f t="shared" si="2"/>
        <v>2</v>
      </c>
      <c r="G154" s="103">
        <f t="shared" si="3"/>
        <v>0</v>
      </c>
      <c r="H154" s="89">
        <f t="shared" si="4"/>
        <v>0</v>
      </c>
      <c r="I154" s="104">
        <v>1.0</v>
      </c>
      <c r="J154" s="111"/>
      <c r="K154" s="106">
        <v>0.1</v>
      </c>
      <c r="L154" s="149">
        <v>0.0</v>
      </c>
      <c r="M154" s="108"/>
      <c r="N154" s="109"/>
      <c r="O154" s="110"/>
    </row>
    <row r="155">
      <c r="A155" s="51" t="s">
        <v>322</v>
      </c>
      <c r="B155" s="52" t="s">
        <v>323</v>
      </c>
      <c r="C155" s="99" t="s">
        <v>367</v>
      </c>
      <c r="D155" s="101">
        <v>2.0</v>
      </c>
      <c r="E155" s="56">
        <f t="shared" si="1"/>
        <v>1</v>
      </c>
      <c r="F155" s="103">
        <f t="shared" si="2"/>
        <v>2</v>
      </c>
      <c r="G155" s="103">
        <f t="shared" si="3"/>
        <v>0</v>
      </c>
      <c r="H155" s="89">
        <f t="shared" si="4"/>
        <v>0</v>
      </c>
      <c r="I155" s="104">
        <v>1.0</v>
      </c>
      <c r="J155" s="111"/>
      <c r="K155" s="106">
        <v>0.1</v>
      </c>
      <c r="L155" s="149">
        <v>0.0</v>
      </c>
      <c r="M155" s="108"/>
      <c r="N155" s="109"/>
      <c r="O155" s="110"/>
    </row>
    <row r="156">
      <c r="A156" s="51" t="s">
        <v>322</v>
      </c>
      <c r="B156" s="52" t="s">
        <v>323</v>
      </c>
      <c r="C156" s="99" t="s">
        <v>368</v>
      </c>
      <c r="D156" s="101">
        <v>1.0</v>
      </c>
      <c r="E156" s="102">
        <f t="shared" si="1"/>
        <v>1</v>
      </c>
      <c r="F156" s="103">
        <f t="shared" si="2"/>
        <v>1</v>
      </c>
      <c r="G156" s="103">
        <f t="shared" si="3"/>
        <v>0</v>
      </c>
      <c r="H156" s="89">
        <f t="shared" si="4"/>
        <v>0</v>
      </c>
      <c r="I156" s="104">
        <v>1.0</v>
      </c>
      <c r="J156" s="111"/>
      <c r="K156" s="106">
        <v>0.1</v>
      </c>
      <c r="L156" s="149">
        <v>0.0</v>
      </c>
      <c r="M156" s="108"/>
      <c r="N156" s="109"/>
      <c r="O156" s="110"/>
    </row>
    <row r="157">
      <c r="A157" s="51" t="s">
        <v>322</v>
      </c>
      <c r="B157" s="52" t="s">
        <v>323</v>
      </c>
      <c r="C157" s="99" t="s">
        <v>369</v>
      </c>
      <c r="D157" s="101">
        <v>10.0</v>
      </c>
      <c r="E157" s="102">
        <f t="shared" si="1"/>
        <v>1</v>
      </c>
      <c r="F157" s="103">
        <f t="shared" si="2"/>
        <v>10</v>
      </c>
      <c r="G157" s="103">
        <f t="shared" si="3"/>
        <v>0</v>
      </c>
      <c r="H157" s="89">
        <f t="shared" si="4"/>
        <v>0</v>
      </c>
      <c r="I157" s="104">
        <v>1.0</v>
      </c>
      <c r="J157" s="111"/>
      <c r="K157" s="106">
        <v>0.1</v>
      </c>
      <c r="L157" s="149">
        <v>0.0</v>
      </c>
      <c r="M157" s="108"/>
      <c r="N157" s="109"/>
      <c r="O157" s="110"/>
    </row>
    <row r="158">
      <c r="A158" s="51" t="s">
        <v>322</v>
      </c>
      <c r="B158" s="52" t="s">
        <v>323</v>
      </c>
      <c r="C158" s="99" t="s">
        <v>370</v>
      </c>
      <c r="D158" s="101">
        <v>3.0</v>
      </c>
      <c r="E158" s="102">
        <f t="shared" si="1"/>
        <v>1</v>
      </c>
      <c r="F158" s="103">
        <f t="shared" si="2"/>
        <v>3</v>
      </c>
      <c r="G158" s="103">
        <f t="shared" si="3"/>
        <v>0</v>
      </c>
      <c r="H158" s="89">
        <f t="shared" si="4"/>
        <v>0</v>
      </c>
      <c r="I158" s="104">
        <v>1.0</v>
      </c>
      <c r="J158" s="111"/>
      <c r="K158" s="106">
        <v>0.1</v>
      </c>
      <c r="L158" s="149">
        <v>0.0</v>
      </c>
      <c r="M158" s="108"/>
      <c r="N158" s="109"/>
      <c r="O158" s="110"/>
    </row>
    <row r="159">
      <c r="A159" s="51" t="s">
        <v>322</v>
      </c>
      <c r="B159" s="52" t="s">
        <v>323</v>
      </c>
      <c r="C159" s="99" t="s">
        <v>371</v>
      </c>
      <c r="D159" s="101">
        <v>3.0</v>
      </c>
      <c r="E159" s="102">
        <f t="shared" si="1"/>
        <v>1</v>
      </c>
      <c r="F159" s="103">
        <f t="shared" si="2"/>
        <v>3</v>
      </c>
      <c r="G159" s="103">
        <f t="shared" si="3"/>
        <v>0</v>
      </c>
      <c r="H159" s="89">
        <f t="shared" si="4"/>
        <v>0</v>
      </c>
      <c r="I159" s="104">
        <v>1.0</v>
      </c>
      <c r="J159" s="111"/>
      <c r="K159" s="106">
        <v>0.1</v>
      </c>
      <c r="L159" s="149">
        <v>0.0</v>
      </c>
      <c r="M159" s="108"/>
      <c r="N159" s="109"/>
      <c r="O159" s="110"/>
    </row>
    <row r="160">
      <c r="A160" s="51" t="s">
        <v>322</v>
      </c>
      <c r="B160" s="52" t="s">
        <v>323</v>
      </c>
      <c r="C160" s="99" t="s">
        <v>372</v>
      </c>
      <c r="D160" s="101">
        <v>3.5</v>
      </c>
      <c r="E160" s="102">
        <f t="shared" si="1"/>
        <v>1</v>
      </c>
      <c r="F160" s="103">
        <f t="shared" si="2"/>
        <v>3.5</v>
      </c>
      <c r="G160" s="103">
        <f t="shared" si="3"/>
        <v>0</v>
      </c>
      <c r="H160" s="89">
        <f t="shared" si="4"/>
        <v>0</v>
      </c>
      <c r="I160" s="104">
        <v>1.0</v>
      </c>
      <c r="J160" s="111"/>
      <c r="K160" s="106">
        <v>0.1</v>
      </c>
      <c r="L160" s="149">
        <v>0.0</v>
      </c>
      <c r="M160" s="108"/>
      <c r="N160" s="109"/>
      <c r="O160" s="110"/>
    </row>
    <row r="161">
      <c r="A161" s="51" t="s">
        <v>322</v>
      </c>
      <c r="B161" s="52" t="s">
        <v>323</v>
      </c>
      <c r="C161" s="99" t="s">
        <v>373</v>
      </c>
      <c r="D161" s="101">
        <v>1.5</v>
      </c>
      <c r="E161" s="56">
        <f t="shared" si="1"/>
        <v>1</v>
      </c>
      <c r="F161" s="103">
        <f t="shared" si="2"/>
        <v>1.5</v>
      </c>
      <c r="G161" s="103">
        <f t="shared" si="3"/>
        <v>0</v>
      </c>
      <c r="H161" s="89">
        <f t="shared" si="4"/>
        <v>0</v>
      </c>
      <c r="I161" s="104">
        <v>1.0</v>
      </c>
      <c r="J161" s="111"/>
      <c r="K161" s="106">
        <v>0.1</v>
      </c>
      <c r="L161" s="149">
        <v>0.0</v>
      </c>
      <c r="M161" s="108"/>
      <c r="N161" s="109"/>
      <c r="O161" s="110"/>
    </row>
    <row r="162">
      <c r="A162" s="159" t="s">
        <v>322</v>
      </c>
      <c r="B162" s="160" t="s">
        <v>323</v>
      </c>
      <c r="C162" s="114" t="s">
        <v>374</v>
      </c>
      <c r="D162" s="116">
        <v>1.0</v>
      </c>
      <c r="E162" s="161">
        <f t="shared" si="1"/>
        <v>1</v>
      </c>
      <c r="F162" s="118">
        <f t="shared" si="2"/>
        <v>1</v>
      </c>
      <c r="G162" s="118">
        <f t="shared" si="3"/>
        <v>0</v>
      </c>
      <c r="H162" s="119">
        <f t="shared" si="4"/>
        <v>0</v>
      </c>
      <c r="I162" s="120">
        <v>1.0</v>
      </c>
      <c r="J162" s="121"/>
      <c r="K162" s="122">
        <v>0.1</v>
      </c>
      <c r="L162" s="154">
        <v>0.0</v>
      </c>
      <c r="M162" s="124"/>
      <c r="N162" s="125"/>
      <c r="O162" s="126"/>
    </row>
  </sheetData>
  <mergeCells count="178">
    <mergeCell ref="A1:B3"/>
    <mergeCell ref="C1:C3"/>
    <mergeCell ref="M1:N1"/>
    <mergeCell ref="F2:F3"/>
    <mergeCell ref="I2:I3"/>
    <mergeCell ref="K2:K3"/>
    <mergeCell ref="L2:L3"/>
    <mergeCell ref="A5:B5"/>
    <mergeCell ref="D5:D6"/>
    <mergeCell ref="E5:F5"/>
    <mergeCell ref="K5:K6"/>
    <mergeCell ref="M5:N6"/>
    <mergeCell ref="O5:O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56:N156"/>
    <mergeCell ref="M157:N157"/>
    <mergeCell ref="M158:N158"/>
    <mergeCell ref="M159:N159"/>
    <mergeCell ref="M160:N160"/>
    <mergeCell ref="M161:N161"/>
    <mergeCell ref="M162:N162"/>
    <mergeCell ref="M149:N149"/>
    <mergeCell ref="M150:N150"/>
    <mergeCell ref="M151:N151"/>
    <mergeCell ref="M152:N152"/>
    <mergeCell ref="M153:N153"/>
    <mergeCell ref="M154:N154"/>
    <mergeCell ref="M155:N155"/>
    <mergeCell ref="M95:N95"/>
    <mergeCell ref="M96:N96"/>
    <mergeCell ref="M94:N94"/>
    <mergeCell ref="M97:N97"/>
    <mergeCell ref="A99:B99"/>
    <mergeCell ref="M99:N99"/>
    <mergeCell ref="A100:B100"/>
    <mergeCell ref="M100:N100"/>
    <mergeCell ref="A101:B101"/>
    <mergeCell ref="M101:N101"/>
    <mergeCell ref="M92:N92"/>
    <mergeCell ref="A93:B93"/>
    <mergeCell ref="A94:B94"/>
    <mergeCell ref="A95:B95"/>
    <mergeCell ref="A96:B96"/>
    <mergeCell ref="A97:B97"/>
    <mergeCell ref="A98:B98"/>
    <mergeCell ref="M93:N93"/>
    <mergeCell ref="M98:N98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</mergeCells>
  <conditionalFormatting sqref="E7:E162">
    <cfRule type="cellIs" dxfId="0" priority="1" operator="lessThan">
      <formula>0</formula>
    </cfRule>
  </conditionalFormatting>
  <dataValidations>
    <dataValidation type="list" allowBlank="1" sqref="L2 L7:L162">
      <formula1>'Menjars - La Parròquia'!$E$2:$E$4</formula1>
    </dataValidation>
    <dataValidation type="list" allowBlank="1" sqref="K2 O2 K7:K162">
      <formula1>'Menjars - La Parròquia'!$D$2:$D$3</formula1>
    </dataValidation>
  </dataValidations>
  <printOptions gridLines="1" horizontalCentered="1"/>
  <pageMargins bottom="0.6" footer="0.0" header="0.0" left="1.1811066006103306" right="1.968503937007874" top="0.6"/>
  <pageSetup paperSize="9" scale="5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 outlineLevelCol="1" outlineLevelRow="1"/>
  <cols>
    <col customWidth="1" min="1" max="1" width="4.88"/>
    <col customWidth="1" min="2" max="2" width="13.88"/>
    <col customWidth="1" min="3" max="3" width="23.88"/>
    <col customWidth="1" min="4" max="4" width="6.38"/>
    <col customWidth="1" min="5" max="5" width="7.63"/>
    <col customWidth="1" min="6" max="6" width="5.88" outlineLevel="1"/>
    <col customWidth="1" min="7" max="9" width="7.63" outlineLevel="1"/>
    <col customWidth="1" min="10" max="11" width="6.38" outlineLevel="1"/>
    <col customWidth="1" min="12" max="13" width="7.63" outlineLevel="1"/>
    <col customWidth="1" min="14" max="15" width="8.88" outlineLevel="1"/>
    <col customWidth="1" min="16" max="16" width="16.38" outlineLevel="1"/>
  </cols>
  <sheetData>
    <row r="1" outlineLevel="1">
      <c r="A1" s="1"/>
      <c r="C1" s="2" t="s">
        <v>375</v>
      </c>
      <c r="E1" s="4"/>
      <c r="F1" s="4" t="s">
        <v>1</v>
      </c>
      <c r="G1" s="5" t="s">
        <v>2</v>
      </c>
      <c r="H1" s="5" t="s">
        <v>3</v>
      </c>
      <c r="I1" s="6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7" t="s">
        <v>9</v>
      </c>
      <c r="P1" s="5" t="s">
        <v>7</v>
      </c>
    </row>
    <row r="2" outlineLevel="1">
      <c r="E2" s="8">
        <v>0.21</v>
      </c>
      <c r="F2" s="8">
        <v>0.052</v>
      </c>
      <c r="G2" s="9">
        <v>1.0</v>
      </c>
      <c r="H2" s="10">
        <f>I2+(I2*L2)+(I2*M2)</f>
        <v>1.21</v>
      </c>
      <c r="I2" s="155">
        <v>1.0</v>
      </c>
      <c r="J2" s="12">
        <v>1.0</v>
      </c>
      <c r="K2" s="13">
        <f>G2*J2*I2</f>
        <v>1</v>
      </c>
      <c r="L2" s="14">
        <v>0.21</v>
      </c>
      <c r="M2" s="15">
        <v>0.0</v>
      </c>
      <c r="N2" s="16" t="s">
        <v>10</v>
      </c>
      <c r="O2" s="17">
        <v>1.21</v>
      </c>
      <c r="P2" s="18">
        <v>0.21</v>
      </c>
    </row>
    <row r="3" ht="15.75" customHeight="1" outlineLevel="1">
      <c r="A3" s="19"/>
      <c r="B3" s="19"/>
      <c r="C3" s="19"/>
      <c r="D3" s="19"/>
      <c r="E3" s="8">
        <v>0.1</v>
      </c>
      <c r="F3" s="8">
        <v>0.014</v>
      </c>
      <c r="G3" s="20"/>
      <c r="H3" s="10">
        <f>I3+(I3*L2)+(I3*M2)</f>
        <v>1.4641</v>
      </c>
      <c r="I3" s="156">
        <f>K3/(G2*J2)</f>
        <v>1.21</v>
      </c>
      <c r="J3" s="22"/>
      <c r="K3" s="23">
        <v>1.21</v>
      </c>
      <c r="L3" s="24"/>
      <c r="M3" s="25"/>
      <c r="N3" s="26" t="s">
        <v>4</v>
      </c>
      <c r="O3" s="157">
        <f>O2/E4</f>
        <v>1</v>
      </c>
      <c r="P3" s="158">
        <f>O3</f>
        <v>1</v>
      </c>
    </row>
    <row r="4" ht="5.25" customHeight="1" outlineLevel="1">
      <c r="A4" s="29"/>
      <c r="B4" s="29"/>
      <c r="C4" s="30"/>
      <c r="D4" s="30"/>
      <c r="E4" s="31">
        <f>IFS($P$2=21%,1.21,$P$2=10%,1.1)</f>
        <v>1.21</v>
      </c>
      <c r="F4" s="31">
        <v>0.0</v>
      </c>
      <c r="G4" s="32"/>
      <c r="H4" s="32"/>
      <c r="I4" s="32"/>
      <c r="J4" s="32"/>
      <c r="K4" s="32"/>
      <c r="L4" s="32"/>
      <c r="M4" s="32"/>
      <c r="N4" s="32"/>
      <c r="O4" s="32"/>
      <c r="P4" s="32"/>
    </row>
    <row r="5">
      <c r="A5" s="33" t="s">
        <v>11</v>
      </c>
      <c r="B5" s="34"/>
      <c r="C5" s="35" t="s">
        <v>375</v>
      </c>
      <c r="D5" s="36" t="s">
        <v>12</v>
      </c>
      <c r="E5" s="37" t="s">
        <v>10</v>
      </c>
      <c r="F5" s="38" t="s">
        <v>13</v>
      </c>
      <c r="G5" s="39"/>
      <c r="H5" s="40" t="s">
        <v>14</v>
      </c>
      <c r="I5" s="41" t="s">
        <v>15</v>
      </c>
      <c r="J5" s="42" t="s">
        <v>16</v>
      </c>
      <c r="K5" s="36" t="s">
        <v>17</v>
      </c>
      <c r="L5" s="43" t="s">
        <v>7</v>
      </c>
      <c r="M5" s="44" t="s">
        <v>18</v>
      </c>
      <c r="N5" s="43" t="s">
        <v>19</v>
      </c>
      <c r="O5" s="45"/>
      <c r="P5" s="43" t="s">
        <v>20</v>
      </c>
    </row>
    <row r="6">
      <c r="A6" s="36" t="s">
        <v>21</v>
      </c>
      <c r="B6" s="36" t="s">
        <v>22</v>
      </c>
      <c r="C6" s="36" t="s">
        <v>376</v>
      </c>
      <c r="D6" s="46"/>
      <c r="E6" s="47"/>
      <c r="F6" s="48" t="s">
        <v>24</v>
      </c>
      <c r="G6" s="36" t="s">
        <v>25</v>
      </c>
      <c r="H6" s="40" t="s">
        <v>26</v>
      </c>
      <c r="I6" s="49" t="s">
        <v>27</v>
      </c>
      <c r="J6" s="42" t="s">
        <v>28</v>
      </c>
      <c r="K6" s="36" t="s">
        <v>28</v>
      </c>
      <c r="L6" s="50"/>
      <c r="M6" s="44" t="s">
        <v>8</v>
      </c>
      <c r="N6" s="50"/>
      <c r="O6" s="45"/>
      <c r="P6" s="50"/>
    </row>
    <row r="7">
      <c r="A7" s="159" t="s">
        <v>377</v>
      </c>
      <c r="B7" s="160" t="s">
        <v>378</v>
      </c>
      <c r="C7" s="179" t="s">
        <v>379</v>
      </c>
      <c r="D7" s="180"/>
      <c r="E7" s="181">
        <v>2.0</v>
      </c>
      <c r="F7" s="161">
        <f t="shared" ref="F7:F46" si="1">IF(E7="","",G7/E7)</f>
        <v>1</v>
      </c>
      <c r="G7" s="182">
        <f t="shared" ref="G7:G46" si="2">E7-H7</f>
        <v>2</v>
      </c>
      <c r="H7" s="182">
        <f t="shared" ref="H7:H46" si="3">I7+(I7*L7)+(I7*M7)</f>
        <v>0</v>
      </c>
      <c r="I7" s="183">
        <f t="shared" ref="I7:I46" si="4">K7/J7</f>
        <v>0</v>
      </c>
      <c r="J7" s="184">
        <v>1.0</v>
      </c>
      <c r="K7" s="185"/>
      <c r="L7" s="186">
        <v>0.1</v>
      </c>
      <c r="M7" s="187">
        <v>0.014</v>
      </c>
      <c r="N7" s="188"/>
      <c r="O7" s="189"/>
      <c r="P7" s="190"/>
    </row>
    <row r="8">
      <c r="A8" s="51" t="s">
        <v>377</v>
      </c>
      <c r="B8" s="52" t="s">
        <v>380</v>
      </c>
      <c r="C8" s="53" t="s">
        <v>381</v>
      </c>
      <c r="D8" s="54"/>
      <c r="E8" s="55">
        <v>2.5</v>
      </c>
      <c r="F8" s="56">
        <f t="shared" si="1"/>
        <v>1</v>
      </c>
      <c r="G8" s="57">
        <f t="shared" si="2"/>
        <v>2.5</v>
      </c>
      <c r="H8" s="57">
        <f t="shared" si="3"/>
        <v>0</v>
      </c>
      <c r="I8" s="58">
        <f t="shared" si="4"/>
        <v>0</v>
      </c>
      <c r="J8" s="59">
        <v>1.0</v>
      </c>
      <c r="K8" s="60"/>
      <c r="L8" s="61">
        <v>0.1</v>
      </c>
      <c r="M8" s="62">
        <v>0.014</v>
      </c>
      <c r="N8" s="63"/>
      <c r="O8" s="64"/>
      <c r="P8" s="65"/>
    </row>
    <row r="9">
      <c r="A9" s="51" t="s">
        <v>377</v>
      </c>
      <c r="B9" s="52" t="s">
        <v>380</v>
      </c>
      <c r="C9" s="53" t="s">
        <v>382</v>
      </c>
      <c r="D9" s="54"/>
      <c r="E9" s="55">
        <v>2.5</v>
      </c>
      <c r="F9" s="56">
        <f t="shared" si="1"/>
        <v>1</v>
      </c>
      <c r="G9" s="57">
        <f t="shared" si="2"/>
        <v>2.5</v>
      </c>
      <c r="H9" s="57">
        <f t="shared" si="3"/>
        <v>0</v>
      </c>
      <c r="I9" s="58">
        <f t="shared" si="4"/>
        <v>0</v>
      </c>
      <c r="J9" s="59">
        <v>1.0</v>
      </c>
      <c r="K9" s="60"/>
      <c r="L9" s="61">
        <v>0.1</v>
      </c>
      <c r="M9" s="62">
        <v>0.014</v>
      </c>
      <c r="N9" s="63"/>
      <c r="O9" s="64"/>
      <c r="P9" s="65"/>
    </row>
    <row r="10">
      <c r="A10" s="112" t="s">
        <v>377</v>
      </c>
      <c r="B10" s="113" t="s">
        <v>380</v>
      </c>
      <c r="C10" s="114" t="s">
        <v>383</v>
      </c>
      <c r="D10" s="115"/>
      <c r="E10" s="116">
        <v>2.5</v>
      </c>
      <c r="F10" s="161">
        <f t="shared" si="1"/>
        <v>1</v>
      </c>
      <c r="G10" s="118">
        <f t="shared" si="2"/>
        <v>2.5</v>
      </c>
      <c r="H10" s="118">
        <f t="shared" si="3"/>
        <v>0</v>
      </c>
      <c r="I10" s="119">
        <f t="shared" si="4"/>
        <v>0</v>
      </c>
      <c r="J10" s="120">
        <v>1.0</v>
      </c>
      <c r="K10" s="121"/>
      <c r="L10" s="122">
        <v>0.1</v>
      </c>
      <c r="M10" s="123">
        <v>0.014</v>
      </c>
      <c r="N10" s="124"/>
      <c r="O10" s="125"/>
      <c r="P10" s="126"/>
    </row>
    <row r="11">
      <c r="A11" s="51" t="s">
        <v>377</v>
      </c>
      <c r="B11" s="52" t="s">
        <v>384</v>
      </c>
      <c r="C11" s="53" t="s">
        <v>385</v>
      </c>
      <c r="D11" s="54"/>
      <c r="E11" s="55">
        <v>2.0</v>
      </c>
      <c r="F11" s="56">
        <f t="shared" si="1"/>
        <v>1</v>
      </c>
      <c r="G11" s="57">
        <f t="shared" si="2"/>
        <v>2</v>
      </c>
      <c r="H11" s="57">
        <f t="shared" si="3"/>
        <v>0</v>
      </c>
      <c r="I11" s="58">
        <f t="shared" si="4"/>
        <v>0</v>
      </c>
      <c r="J11" s="59">
        <v>1.0</v>
      </c>
      <c r="K11" s="60"/>
      <c r="L11" s="61">
        <v>0.1</v>
      </c>
      <c r="M11" s="62">
        <v>0.014</v>
      </c>
      <c r="N11" s="63"/>
      <c r="O11" s="64"/>
      <c r="P11" s="65"/>
    </row>
    <row r="12">
      <c r="A12" s="97" t="s">
        <v>377</v>
      </c>
      <c r="B12" s="98" t="s">
        <v>384</v>
      </c>
      <c r="C12" s="99" t="s">
        <v>386</v>
      </c>
      <c r="D12" s="100"/>
      <c r="E12" s="101">
        <v>2.0</v>
      </c>
      <c r="F12" s="56">
        <f t="shared" si="1"/>
        <v>1</v>
      </c>
      <c r="G12" s="103">
        <f t="shared" si="2"/>
        <v>2</v>
      </c>
      <c r="H12" s="103">
        <f t="shared" si="3"/>
        <v>0</v>
      </c>
      <c r="I12" s="89">
        <f t="shared" si="4"/>
        <v>0</v>
      </c>
      <c r="J12" s="104">
        <v>1.0</v>
      </c>
      <c r="K12" s="111"/>
      <c r="L12" s="106">
        <v>0.1</v>
      </c>
      <c r="M12" s="107">
        <v>0.014</v>
      </c>
      <c r="N12" s="108"/>
      <c r="O12" s="109"/>
      <c r="P12" s="110"/>
    </row>
    <row r="13">
      <c r="A13" s="112" t="s">
        <v>377</v>
      </c>
      <c r="B13" s="113" t="s">
        <v>384</v>
      </c>
      <c r="C13" s="114" t="s">
        <v>387</v>
      </c>
      <c r="D13" s="115"/>
      <c r="E13" s="116">
        <v>2.0</v>
      </c>
      <c r="F13" s="161">
        <f t="shared" si="1"/>
        <v>1</v>
      </c>
      <c r="G13" s="118">
        <f t="shared" si="2"/>
        <v>2</v>
      </c>
      <c r="H13" s="118">
        <f t="shared" si="3"/>
        <v>0</v>
      </c>
      <c r="I13" s="119">
        <f t="shared" si="4"/>
        <v>0</v>
      </c>
      <c r="J13" s="120">
        <v>1.0</v>
      </c>
      <c r="K13" s="121"/>
      <c r="L13" s="122">
        <v>0.1</v>
      </c>
      <c r="M13" s="123">
        <v>0.014</v>
      </c>
      <c r="N13" s="124"/>
      <c r="O13" s="125"/>
      <c r="P13" s="126"/>
    </row>
    <row r="14">
      <c r="A14" s="51" t="s">
        <v>377</v>
      </c>
      <c r="B14" s="52" t="s">
        <v>388</v>
      </c>
      <c r="C14" s="53" t="s">
        <v>389</v>
      </c>
      <c r="D14" s="54"/>
      <c r="E14" s="55">
        <v>2.5</v>
      </c>
      <c r="F14" s="56">
        <f t="shared" si="1"/>
        <v>1</v>
      </c>
      <c r="G14" s="57">
        <f t="shared" si="2"/>
        <v>2.5</v>
      </c>
      <c r="H14" s="57">
        <f t="shared" si="3"/>
        <v>0</v>
      </c>
      <c r="I14" s="58">
        <f t="shared" si="4"/>
        <v>0</v>
      </c>
      <c r="J14" s="59">
        <v>1.0</v>
      </c>
      <c r="K14" s="60"/>
      <c r="L14" s="61">
        <v>0.1</v>
      </c>
      <c r="M14" s="62">
        <v>0.014</v>
      </c>
      <c r="N14" s="63"/>
      <c r="O14" s="64"/>
      <c r="P14" s="65"/>
    </row>
    <row r="15">
      <c r="A15" s="97" t="s">
        <v>377</v>
      </c>
      <c r="B15" s="98" t="s">
        <v>388</v>
      </c>
      <c r="C15" s="99" t="s">
        <v>390</v>
      </c>
      <c r="D15" s="100"/>
      <c r="E15" s="101">
        <v>2.5</v>
      </c>
      <c r="F15" s="56">
        <f t="shared" si="1"/>
        <v>1</v>
      </c>
      <c r="G15" s="103">
        <f t="shared" si="2"/>
        <v>2.5</v>
      </c>
      <c r="H15" s="103">
        <f t="shared" si="3"/>
        <v>0</v>
      </c>
      <c r="I15" s="89">
        <f t="shared" si="4"/>
        <v>0</v>
      </c>
      <c r="J15" s="104">
        <v>1.0</v>
      </c>
      <c r="K15" s="111"/>
      <c r="L15" s="106">
        <v>0.1</v>
      </c>
      <c r="M15" s="107">
        <v>0.014</v>
      </c>
      <c r="N15" s="108"/>
      <c r="O15" s="109"/>
      <c r="P15" s="110"/>
    </row>
    <row r="16">
      <c r="A16" s="97" t="s">
        <v>377</v>
      </c>
      <c r="B16" s="98" t="s">
        <v>388</v>
      </c>
      <c r="C16" s="99" t="s">
        <v>391</v>
      </c>
      <c r="D16" s="100"/>
      <c r="E16" s="101">
        <v>2.5</v>
      </c>
      <c r="F16" s="56">
        <f t="shared" si="1"/>
        <v>1</v>
      </c>
      <c r="G16" s="103">
        <f t="shared" si="2"/>
        <v>2.5</v>
      </c>
      <c r="H16" s="103">
        <f t="shared" si="3"/>
        <v>0</v>
      </c>
      <c r="I16" s="89">
        <f t="shared" si="4"/>
        <v>0</v>
      </c>
      <c r="J16" s="104">
        <v>1.0</v>
      </c>
      <c r="K16" s="111"/>
      <c r="L16" s="106">
        <v>0.1</v>
      </c>
      <c r="M16" s="107">
        <v>0.014</v>
      </c>
      <c r="N16" s="108"/>
      <c r="O16" s="109"/>
      <c r="P16" s="110"/>
    </row>
    <row r="17">
      <c r="A17" s="97" t="s">
        <v>377</v>
      </c>
      <c r="B17" s="98" t="s">
        <v>388</v>
      </c>
      <c r="C17" s="99" t="s">
        <v>392</v>
      </c>
      <c r="D17" s="100"/>
      <c r="E17" s="101">
        <v>3.0</v>
      </c>
      <c r="F17" s="56">
        <f t="shared" si="1"/>
        <v>1</v>
      </c>
      <c r="G17" s="103">
        <f t="shared" si="2"/>
        <v>3</v>
      </c>
      <c r="H17" s="103">
        <f t="shared" si="3"/>
        <v>0</v>
      </c>
      <c r="I17" s="89">
        <f t="shared" si="4"/>
        <v>0</v>
      </c>
      <c r="J17" s="104">
        <v>1.0</v>
      </c>
      <c r="K17" s="111"/>
      <c r="L17" s="106">
        <v>0.1</v>
      </c>
      <c r="M17" s="107">
        <v>0.014</v>
      </c>
      <c r="N17" s="108"/>
      <c r="O17" s="109"/>
      <c r="P17" s="110"/>
    </row>
    <row r="18">
      <c r="A18" s="97" t="s">
        <v>377</v>
      </c>
      <c r="B18" s="98" t="s">
        <v>393</v>
      </c>
      <c r="C18" s="99" t="s">
        <v>394</v>
      </c>
      <c r="D18" s="100"/>
      <c r="E18" s="101">
        <v>2.5</v>
      </c>
      <c r="F18" s="56">
        <f t="shared" si="1"/>
        <v>1</v>
      </c>
      <c r="G18" s="103">
        <f t="shared" si="2"/>
        <v>2.5</v>
      </c>
      <c r="H18" s="103">
        <f t="shared" si="3"/>
        <v>0</v>
      </c>
      <c r="I18" s="89">
        <f t="shared" si="4"/>
        <v>0</v>
      </c>
      <c r="J18" s="104">
        <v>1.0</v>
      </c>
      <c r="K18" s="111"/>
      <c r="L18" s="106">
        <v>0.1</v>
      </c>
      <c r="M18" s="107">
        <v>0.014</v>
      </c>
      <c r="N18" s="108"/>
      <c r="O18" s="109"/>
      <c r="P18" s="110"/>
    </row>
    <row r="19">
      <c r="A19" s="97" t="s">
        <v>377</v>
      </c>
      <c r="B19" s="98" t="s">
        <v>393</v>
      </c>
      <c r="C19" s="99" t="s">
        <v>395</v>
      </c>
      <c r="D19" s="100"/>
      <c r="E19" s="101">
        <v>2.5</v>
      </c>
      <c r="F19" s="56">
        <f t="shared" si="1"/>
        <v>1</v>
      </c>
      <c r="G19" s="103">
        <f t="shared" si="2"/>
        <v>2.5</v>
      </c>
      <c r="H19" s="103">
        <f t="shared" si="3"/>
        <v>0</v>
      </c>
      <c r="I19" s="89">
        <f t="shared" si="4"/>
        <v>0</v>
      </c>
      <c r="J19" s="104">
        <v>1.0</v>
      </c>
      <c r="K19" s="111"/>
      <c r="L19" s="106">
        <v>0.1</v>
      </c>
      <c r="M19" s="107">
        <v>0.014</v>
      </c>
      <c r="N19" s="108"/>
      <c r="O19" s="109"/>
      <c r="P19" s="110"/>
    </row>
    <row r="20">
      <c r="A20" s="112" t="s">
        <v>377</v>
      </c>
      <c r="B20" s="113" t="s">
        <v>393</v>
      </c>
      <c r="C20" s="114" t="s">
        <v>396</v>
      </c>
      <c r="D20" s="115"/>
      <c r="E20" s="116">
        <v>1.5</v>
      </c>
      <c r="F20" s="161">
        <f t="shared" si="1"/>
        <v>1</v>
      </c>
      <c r="G20" s="118">
        <f t="shared" si="2"/>
        <v>1.5</v>
      </c>
      <c r="H20" s="118">
        <f t="shared" si="3"/>
        <v>0</v>
      </c>
      <c r="I20" s="119">
        <f t="shared" si="4"/>
        <v>0</v>
      </c>
      <c r="J20" s="120">
        <v>1.0</v>
      </c>
      <c r="K20" s="121"/>
      <c r="L20" s="122">
        <v>0.1</v>
      </c>
      <c r="M20" s="123">
        <v>0.014</v>
      </c>
      <c r="N20" s="124"/>
      <c r="O20" s="125"/>
      <c r="P20" s="126"/>
    </row>
    <row r="21">
      <c r="A21" s="159" t="s">
        <v>377</v>
      </c>
      <c r="B21" s="160" t="s">
        <v>397</v>
      </c>
      <c r="C21" s="179" t="s">
        <v>398</v>
      </c>
      <c r="D21" s="180"/>
      <c r="E21" s="181">
        <v>2.0</v>
      </c>
      <c r="F21" s="161">
        <f t="shared" si="1"/>
        <v>1</v>
      </c>
      <c r="G21" s="182">
        <f t="shared" si="2"/>
        <v>2</v>
      </c>
      <c r="H21" s="182">
        <f t="shared" si="3"/>
        <v>0</v>
      </c>
      <c r="I21" s="183">
        <f t="shared" si="4"/>
        <v>0</v>
      </c>
      <c r="J21" s="184">
        <v>1.0</v>
      </c>
      <c r="K21" s="185"/>
      <c r="L21" s="186">
        <v>0.1</v>
      </c>
      <c r="M21" s="187">
        <v>0.014</v>
      </c>
      <c r="N21" s="188"/>
      <c r="O21" s="189"/>
      <c r="P21" s="190"/>
    </row>
    <row r="22">
      <c r="A22" s="159" t="s">
        <v>377</v>
      </c>
      <c r="B22" s="160" t="s">
        <v>397</v>
      </c>
      <c r="C22" s="179" t="s">
        <v>399</v>
      </c>
      <c r="D22" s="180"/>
      <c r="E22" s="181">
        <v>4.0</v>
      </c>
      <c r="F22" s="161">
        <f t="shared" si="1"/>
        <v>1</v>
      </c>
      <c r="G22" s="182">
        <f t="shared" si="2"/>
        <v>4</v>
      </c>
      <c r="H22" s="182">
        <f t="shared" si="3"/>
        <v>0</v>
      </c>
      <c r="I22" s="183">
        <f t="shared" si="4"/>
        <v>0</v>
      </c>
      <c r="J22" s="184">
        <v>1.0</v>
      </c>
      <c r="K22" s="185"/>
      <c r="L22" s="186">
        <v>0.1</v>
      </c>
      <c r="M22" s="187">
        <v>0.014</v>
      </c>
      <c r="N22" s="188"/>
      <c r="O22" s="189"/>
      <c r="P22" s="190"/>
    </row>
    <row r="23">
      <c r="A23" s="51" t="s">
        <v>377</v>
      </c>
      <c r="B23" s="52"/>
      <c r="C23" s="53" t="s">
        <v>400</v>
      </c>
      <c r="D23" s="54"/>
      <c r="E23" s="55"/>
      <c r="F23" s="56" t="str">
        <f t="shared" si="1"/>
        <v/>
      </c>
      <c r="G23" s="57">
        <f t="shared" si="2"/>
        <v>0</v>
      </c>
      <c r="H23" s="57">
        <f t="shared" si="3"/>
        <v>0</v>
      </c>
      <c r="I23" s="58">
        <f t="shared" si="4"/>
        <v>0</v>
      </c>
      <c r="J23" s="59">
        <v>1.0</v>
      </c>
      <c r="K23" s="60"/>
      <c r="L23" s="61">
        <v>0.1</v>
      </c>
      <c r="M23" s="62">
        <v>0.014</v>
      </c>
      <c r="N23" s="63"/>
      <c r="O23" s="64"/>
      <c r="P23" s="65"/>
    </row>
    <row r="24">
      <c r="A24" s="51" t="s">
        <v>377</v>
      </c>
      <c r="B24" s="52"/>
      <c r="C24" s="53" t="s">
        <v>401</v>
      </c>
      <c r="D24" s="54"/>
      <c r="E24" s="55"/>
      <c r="F24" s="56" t="str">
        <f t="shared" si="1"/>
        <v/>
      </c>
      <c r="G24" s="57">
        <f t="shared" si="2"/>
        <v>0</v>
      </c>
      <c r="H24" s="57">
        <f t="shared" si="3"/>
        <v>0</v>
      </c>
      <c r="I24" s="58">
        <f t="shared" si="4"/>
        <v>0</v>
      </c>
      <c r="J24" s="59">
        <v>1.0</v>
      </c>
      <c r="K24" s="60"/>
      <c r="L24" s="61">
        <v>0.1</v>
      </c>
      <c r="M24" s="62">
        <v>0.014</v>
      </c>
      <c r="N24" s="63"/>
      <c r="O24" s="64"/>
      <c r="P24" s="65"/>
    </row>
    <row r="25">
      <c r="A25" s="51" t="s">
        <v>377</v>
      </c>
      <c r="B25" s="52" t="s">
        <v>402</v>
      </c>
      <c r="C25" s="53" t="s">
        <v>403</v>
      </c>
      <c r="D25" s="54"/>
      <c r="E25" s="55">
        <v>2.0</v>
      </c>
      <c r="F25" s="56">
        <f t="shared" si="1"/>
        <v>1</v>
      </c>
      <c r="G25" s="57">
        <f t="shared" si="2"/>
        <v>2</v>
      </c>
      <c r="H25" s="57">
        <f t="shared" si="3"/>
        <v>0</v>
      </c>
      <c r="I25" s="58">
        <f t="shared" si="4"/>
        <v>0</v>
      </c>
      <c r="J25" s="59">
        <v>1.0</v>
      </c>
      <c r="K25" s="60"/>
      <c r="L25" s="61">
        <v>0.1</v>
      </c>
      <c r="M25" s="62">
        <v>0.014</v>
      </c>
      <c r="N25" s="63"/>
      <c r="O25" s="64"/>
      <c r="P25" s="65"/>
    </row>
    <row r="26">
      <c r="A26" s="51" t="s">
        <v>377</v>
      </c>
      <c r="B26" s="52" t="s">
        <v>402</v>
      </c>
      <c r="C26" s="53" t="s">
        <v>404</v>
      </c>
      <c r="D26" s="54"/>
      <c r="E26" s="55">
        <v>2.5</v>
      </c>
      <c r="F26" s="56">
        <f t="shared" si="1"/>
        <v>1</v>
      </c>
      <c r="G26" s="57">
        <f t="shared" si="2"/>
        <v>2.5</v>
      </c>
      <c r="H26" s="57">
        <f t="shared" si="3"/>
        <v>0</v>
      </c>
      <c r="I26" s="58">
        <f t="shared" si="4"/>
        <v>0</v>
      </c>
      <c r="J26" s="59">
        <v>1.0</v>
      </c>
      <c r="K26" s="60"/>
      <c r="L26" s="61">
        <v>0.1</v>
      </c>
      <c r="M26" s="62">
        <v>0.014</v>
      </c>
      <c r="N26" s="63"/>
      <c r="O26" s="64"/>
      <c r="P26" s="65"/>
    </row>
    <row r="27">
      <c r="A27" s="51" t="s">
        <v>377</v>
      </c>
      <c r="B27" s="52" t="s">
        <v>402</v>
      </c>
      <c r="C27" s="53" t="s">
        <v>405</v>
      </c>
      <c r="D27" s="54"/>
      <c r="E27" s="55">
        <v>2.0</v>
      </c>
      <c r="F27" s="56">
        <f t="shared" si="1"/>
        <v>1</v>
      </c>
      <c r="G27" s="57">
        <f t="shared" si="2"/>
        <v>2</v>
      </c>
      <c r="H27" s="57">
        <f t="shared" si="3"/>
        <v>0</v>
      </c>
      <c r="I27" s="58">
        <f t="shared" si="4"/>
        <v>0</v>
      </c>
      <c r="J27" s="59">
        <v>1.0</v>
      </c>
      <c r="K27" s="60"/>
      <c r="L27" s="61">
        <v>0.1</v>
      </c>
      <c r="M27" s="62">
        <v>0.014</v>
      </c>
      <c r="N27" s="63"/>
      <c r="O27" s="64"/>
      <c r="P27" s="65"/>
    </row>
    <row r="28">
      <c r="A28" s="51" t="s">
        <v>377</v>
      </c>
      <c r="B28" s="52"/>
      <c r="C28" s="53" t="s">
        <v>406</v>
      </c>
      <c r="D28" s="54"/>
      <c r="E28" s="55"/>
      <c r="F28" s="56" t="str">
        <f t="shared" si="1"/>
        <v/>
      </c>
      <c r="G28" s="57">
        <f t="shared" si="2"/>
        <v>0</v>
      </c>
      <c r="H28" s="57">
        <f t="shared" si="3"/>
        <v>0</v>
      </c>
      <c r="I28" s="58">
        <f t="shared" si="4"/>
        <v>0</v>
      </c>
      <c r="J28" s="59">
        <v>1.0</v>
      </c>
      <c r="K28" s="60"/>
      <c r="L28" s="61">
        <v>0.1</v>
      </c>
      <c r="M28" s="62">
        <v>0.014</v>
      </c>
      <c r="N28" s="63"/>
      <c r="O28" s="64"/>
      <c r="P28" s="65"/>
    </row>
    <row r="29">
      <c r="A29" s="97" t="s">
        <v>377</v>
      </c>
      <c r="B29" s="98" t="s">
        <v>393</v>
      </c>
      <c r="C29" s="99" t="s">
        <v>407</v>
      </c>
      <c r="D29" s="100"/>
      <c r="E29" s="101">
        <v>2.0</v>
      </c>
      <c r="F29" s="56">
        <f t="shared" si="1"/>
        <v>1</v>
      </c>
      <c r="G29" s="103">
        <f t="shared" si="2"/>
        <v>2</v>
      </c>
      <c r="H29" s="103">
        <f t="shared" si="3"/>
        <v>0</v>
      </c>
      <c r="I29" s="89">
        <f t="shared" si="4"/>
        <v>0</v>
      </c>
      <c r="J29" s="104">
        <v>1.0</v>
      </c>
      <c r="K29" s="111"/>
      <c r="L29" s="106">
        <v>0.1</v>
      </c>
      <c r="M29" s="107">
        <v>0.014</v>
      </c>
      <c r="N29" s="108"/>
      <c r="O29" s="109"/>
      <c r="P29" s="110"/>
    </row>
    <row r="30">
      <c r="A30" s="97" t="s">
        <v>377</v>
      </c>
      <c r="B30" s="98" t="s">
        <v>393</v>
      </c>
      <c r="C30" s="99" t="s">
        <v>408</v>
      </c>
      <c r="D30" s="100"/>
      <c r="E30" s="101">
        <v>2.0</v>
      </c>
      <c r="F30" s="56">
        <f t="shared" si="1"/>
        <v>1</v>
      </c>
      <c r="G30" s="103">
        <f t="shared" si="2"/>
        <v>2</v>
      </c>
      <c r="H30" s="103">
        <f t="shared" si="3"/>
        <v>0</v>
      </c>
      <c r="I30" s="89">
        <f t="shared" si="4"/>
        <v>0</v>
      </c>
      <c r="J30" s="104">
        <v>1.0</v>
      </c>
      <c r="K30" s="111"/>
      <c r="L30" s="106">
        <v>0.1</v>
      </c>
      <c r="M30" s="107">
        <v>0.014</v>
      </c>
      <c r="N30" s="108"/>
      <c r="O30" s="109"/>
      <c r="P30" s="110"/>
    </row>
    <row r="31">
      <c r="A31" s="112" t="s">
        <v>377</v>
      </c>
      <c r="B31" s="113" t="s">
        <v>393</v>
      </c>
      <c r="C31" s="114" t="s">
        <v>409</v>
      </c>
      <c r="D31" s="115"/>
      <c r="E31" s="116">
        <v>2.0</v>
      </c>
      <c r="F31" s="161">
        <f t="shared" si="1"/>
        <v>1</v>
      </c>
      <c r="G31" s="118">
        <f t="shared" si="2"/>
        <v>2</v>
      </c>
      <c r="H31" s="118">
        <f t="shared" si="3"/>
        <v>0</v>
      </c>
      <c r="I31" s="119">
        <f t="shared" si="4"/>
        <v>0</v>
      </c>
      <c r="J31" s="120">
        <v>1.0</v>
      </c>
      <c r="K31" s="121"/>
      <c r="L31" s="122">
        <v>0.1</v>
      </c>
      <c r="M31" s="123">
        <v>0.014</v>
      </c>
      <c r="N31" s="124"/>
      <c r="O31" s="125"/>
      <c r="P31" s="126"/>
    </row>
    <row r="32">
      <c r="A32" s="97" t="s">
        <v>377</v>
      </c>
      <c r="B32" s="98" t="s">
        <v>410</v>
      </c>
      <c r="C32" s="99" t="s">
        <v>411</v>
      </c>
      <c r="D32" s="100"/>
      <c r="E32" s="101">
        <v>1.0</v>
      </c>
      <c r="F32" s="56">
        <f t="shared" si="1"/>
        <v>1</v>
      </c>
      <c r="G32" s="103">
        <f t="shared" si="2"/>
        <v>1</v>
      </c>
      <c r="H32" s="103">
        <f t="shared" si="3"/>
        <v>0</v>
      </c>
      <c r="I32" s="89">
        <f t="shared" si="4"/>
        <v>0</v>
      </c>
      <c r="J32" s="104">
        <v>1.0</v>
      </c>
      <c r="K32" s="111"/>
      <c r="L32" s="106">
        <v>0.1</v>
      </c>
      <c r="M32" s="107">
        <v>0.014</v>
      </c>
      <c r="N32" s="108"/>
      <c r="O32" s="109"/>
      <c r="P32" s="110"/>
    </row>
    <row r="33">
      <c r="A33" s="97" t="s">
        <v>377</v>
      </c>
      <c r="B33" s="98" t="s">
        <v>410</v>
      </c>
      <c r="C33" s="99" t="s">
        <v>412</v>
      </c>
      <c r="D33" s="100"/>
      <c r="E33" s="101">
        <v>1.0</v>
      </c>
      <c r="F33" s="56">
        <f t="shared" si="1"/>
        <v>1</v>
      </c>
      <c r="G33" s="103">
        <f t="shared" si="2"/>
        <v>1</v>
      </c>
      <c r="H33" s="103">
        <f t="shared" si="3"/>
        <v>0</v>
      </c>
      <c r="I33" s="89">
        <f t="shared" si="4"/>
        <v>0</v>
      </c>
      <c r="J33" s="104">
        <v>1.0</v>
      </c>
      <c r="K33" s="111"/>
      <c r="L33" s="106">
        <v>0.1</v>
      </c>
      <c r="M33" s="107">
        <v>0.014</v>
      </c>
      <c r="N33" s="108"/>
      <c r="O33" s="109"/>
      <c r="P33" s="110"/>
    </row>
    <row r="34">
      <c r="A34" s="97" t="s">
        <v>377</v>
      </c>
      <c r="B34" s="98" t="s">
        <v>410</v>
      </c>
      <c r="C34" s="99" t="s">
        <v>413</v>
      </c>
      <c r="D34" s="100"/>
      <c r="E34" s="101">
        <v>1.0</v>
      </c>
      <c r="F34" s="56">
        <f t="shared" si="1"/>
        <v>1</v>
      </c>
      <c r="G34" s="103">
        <f t="shared" si="2"/>
        <v>1</v>
      </c>
      <c r="H34" s="103">
        <f t="shared" si="3"/>
        <v>0</v>
      </c>
      <c r="I34" s="89">
        <f t="shared" si="4"/>
        <v>0</v>
      </c>
      <c r="J34" s="104">
        <v>1.0</v>
      </c>
      <c r="K34" s="111"/>
      <c r="L34" s="106">
        <v>0.1</v>
      </c>
      <c r="M34" s="107">
        <v>0.014</v>
      </c>
      <c r="N34" s="108"/>
      <c r="O34" s="109"/>
      <c r="P34" s="110"/>
    </row>
    <row r="35">
      <c r="A35" s="51" t="s">
        <v>377</v>
      </c>
      <c r="B35" s="52" t="s">
        <v>410</v>
      </c>
      <c r="C35" s="53" t="s">
        <v>414</v>
      </c>
      <c r="D35" s="54"/>
      <c r="E35" s="55">
        <v>1.0</v>
      </c>
      <c r="F35" s="56">
        <f t="shared" si="1"/>
        <v>1</v>
      </c>
      <c r="G35" s="57">
        <f t="shared" si="2"/>
        <v>1</v>
      </c>
      <c r="H35" s="57">
        <f t="shared" si="3"/>
        <v>0</v>
      </c>
      <c r="I35" s="58">
        <f t="shared" si="4"/>
        <v>0</v>
      </c>
      <c r="J35" s="59">
        <v>1.0</v>
      </c>
      <c r="K35" s="60"/>
      <c r="L35" s="61">
        <v>0.1</v>
      </c>
      <c r="M35" s="62">
        <v>0.014</v>
      </c>
      <c r="N35" s="63"/>
      <c r="O35" s="64"/>
      <c r="P35" s="65"/>
    </row>
    <row r="36">
      <c r="A36" s="97" t="s">
        <v>377</v>
      </c>
      <c r="B36" s="98" t="s">
        <v>410</v>
      </c>
      <c r="C36" s="99" t="s">
        <v>415</v>
      </c>
      <c r="D36" s="100"/>
      <c r="E36" s="101">
        <v>1.0</v>
      </c>
      <c r="F36" s="56">
        <f t="shared" si="1"/>
        <v>1</v>
      </c>
      <c r="G36" s="103">
        <f t="shared" si="2"/>
        <v>1</v>
      </c>
      <c r="H36" s="103">
        <f t="shared" si="3"/>
        <v>0</v>
      </c>
      <c r="I36" s="89">
        <f t="shared" si="4"/>
        <v>0</v>
      </c>
      <c r="J36" s="104">
        <v>1.0</v>
      </c>
      <c r="K36" s="111"/>
      <c r="L36" s="106">
        <v>0.1</v>
      </c>
      <c r="M36" s="107">
        <v>0.014</v>
      </c>
      <c r="N36" s="108"/>
      <c r="O36" s="109"/>
      <c r="P36" s="110"/>
    </row>
    <row r="37">
      <c r="A37" s="97" t="s">
        <v>377</v>
      </c>
      <c r="B37" s="98" t="s">
        <v>410</v>
      </c>
      <c r="C37" s="99" t="s">
        <v>416</v>
      </c>
      <c r="D37" s="100"/>
      <c r="E37" s="101">
        <v>1.0</v>
      </c>
      <c r="F37" s="56">
        <f t="shared" si="1"/>
        <v>1</v>
      </c>
      <c r="G37" s="103">
        <f t="shared" si="2"/>
        <v>1</v>
      </c>
      <c r="H37" s="103">
        <f t="shared" si="3"/>
        <v>0</v>
      </c>
      <c r="I37" s="89">
        <f t="shared" si="4"/>
        <v>0</v>
      </c>
      <c r="J37" s="104">
        <v>1.0</v>
      </c>
      <c r="K37" s="111"/>
      <c r="L37" s="106">
        <v>0.1</v>
      </c>
      <c r="M37" s="107">
        <v>0.014</v>
      </c>
      <c r="N37" s="108"/>
      <c r="O37" s="109"/>
      <c r="P37" s="110"/>
    </row>
    <row r="38">
      <c r="A38" s="51" t="s">
        <v>377</v>
      </c>
      <c r="B38" s="52" t="s">
        <v>393</v>
      </c>
      <c r="C38" s="53" t="s">
        <v>417</v>
      </c>
      <c r="D38" s="54"/>
      <c r="E38" s="55">
        <v>2.5</v>
      </c>
      <c r="F38" s="56">
        <f t="shared" si="1"/>
        <v>1</v>
      </c>
      <c r="G38" s="57">
        <f t="shared" si="2"/>
        <v>2.5</v>
      </c>
      <c r="H38" s="57">
        <f t="shared" si="3"/>
        <v>0</v>
      </c>
      <c r="I38" s="58">
        <f t="shared" si="4"/>
        <v>0</v>
      </c>
      <c r="J38" s="59">
        <v>1.0</v>
      </c>
      <c r="K38" s="60"/>
      <c r="L38" s="61">
        <v>0.1</v>
      </c>
      <c r="M38" s="62">
        <v>0.014</v>
      </c>
      <c r="N38" s="63"/>
      <c r="O38" s="64"/>
      <c r="P38" s="65"/>
    </row>
    <row r="39">
      <c r="A39" s="51" t="s">
        <v>377</v>
      </c>
      <c r="B39" s="52" t="s">
        <v>393</v>
      </c>
      <c r="C39" s="53" t="s">
        <v>418</v>
      </c>
      <c r="D39" s="54"/>
      <c r="E39" s="55">
        <v>1.5</v>
      </c>
      <c r="F39" s="56">
        <f t="shared" si="1"/>
        <v>1</v>
      </c>
      <c r="G39" s="57">
        <f t="shared" si="2"/>
        <v>1.5</v>
      </c>
      <c r="H39" s="57">
        <f t="shared" si="3"/>
        <v>0</v>
      </c>
      <c r="I39" s="58">
        <f t="shared" si="4"/>
        <v>0</v>
      </c>
      <c r="J39" s="59">
        <v>1.0</v>
      </c>
      <c r="K39" s="60"/>
      <c r="L39" s="61">
        <v>0.1</v>
      </c>
      <c r="M39" s="62">
        <v>0.014</v>
      </c>
      <c r="N39" s="63"/>
      <c r="O39" s="64"/>
      <c r="P39" s="65"/>
    </row>
    <row r="40">
      <c r="A40" s="51" t="s">
        <v>377</v>
      </c>
      <c r="B40" s="52" t="s">
        <v>419</v>
      </c>
      <c r="C40" s="53" t="s">
        <v>420</v>
      </c>
      <c r="D40" s="54">
        <v>50.0</v>
      </c>
      <c r="E40" s="55">
        <v>5.0</v>
      </c>
      <c r="F40" s="56">
        <f t="shared" si="1"/>
        <v>1</v>
      </c>
      <c r="G40" s="57">
        <f t="shared" si="2"/>
        <v>5</v>
      </c>
      <c r="H40" s="57">
        <f t="shared" si="3"/>
        <v>0</v>
      </c>
      <c r="I40" s="58">
        <f t="shared" si="4"/>
        <v>0</v>
      </c>
      <c r="J40" s="59">
        <v>1.0</v>
      </c>
      <c r="K40" s="60"/>
      <c r="L40" s="61">
        <v>0.1</v>
      </c>
      <c r="M40" s="62">
        <v>0.014</v>
      </c>
      <c r="N40" s="63"/>
      <c r="O40" s="64"/>
      <c r="P40" s="65"/>
    </row>
    <row r="41">
      <c r="A41" s="97" t="s">
        <v>377</v>
      </c>
      <c r="B41" s="52" t="s">
        <v>419</v>
      </c>
      <c r="C41" s="99" t="s">
        <v>421</v>
      </c>
      <c r="D41" s="100">
        <v>50.0</v>
      </c>
      <c r="E41" s="101">
        <v>6.0</v>
      </c>
      <c r="F41" s="56">
        <f t="shared" si="1"/>
        <v>1</v>
      </c>
      <c r="G41" s="103">
        <f t="shared" si="2"/>
        <v>6</v>
      </c>
      <c r="H41" s="103">
        <f t="shared" si="3"/>
        <v>0</v>
      </c>
      <c r="I41" s="89">
        <f t="shared" si="4"/>
        <v>0</v>
      </c>
      <c r="J41" s="104">
        <v>1.0</v>
      </c>
      <c r="K41" s="111"/>
      <c r="L41" s="106">
        <v>0.1</v>
      </c>
      <c r="M41" s="107">
        <v>0.014</v>
      </c>
      <c r="N41" s="108"/>
      <c r="O41" s="109"/>
      <c r="P41" s="110"/>
    </row>
    <row r="42">
      <c r="A42" s="97" t="s">
        <v>377</v>
      </c>
      <c r="B42" s="52" t="s">
        <v>419</v>
      </c>
      <c r="C42" s="99" t="s">
        <v>422</v>
      </c>
      <c r="D42" s="100">
        <v>50.0</v>
      </c>
      <c r="E42" s="101">
        <v>5.0</v>
      </c>
      <c r="F42" s="56">
        <f t="shared" si="1"/>
        <v>1</v>
      </c>
      <c r="G42" s="103">
        <f t="shared" si="2"/>
        <v>5</v>
      </c>
      <c r="H42" s="103">
        <f t="shared" si="3"/>
        <v>0</v>
      </c>
      <c r="I42" s="89">
        <f t="shared" si="4"/>
        <v>0</v>
      </c>
      <c r="J42" s="104">
        <v>1.0</v>
      </c>
      <c r="K42" s="111"/>
      <c r="L42" s="106">
        <v>0.1</v>
      </c>
      <c r="M42" s="107">
        <v>0.014</v>
      </c>
      <c r="N42" s="108"/>
      <c r="O42" s="109"/>
      <c r="P42" s="110"/>
    </row>
    <row r="43">
      <c r="A43" s="97" t="s">
        <v>377</v>
      </c>
      <c r="B43" s="52" t="s">
        <v>423</v>
      </c>
      <c r="C43" s="99" t="s">
        <v>424</v>
      </c>
      <c r="D43" s="100"/>
      <c r="E43" s="101"/>
      <c r="F43" s="56" t="str">
        <f t="shared" si="1"/>
        <v/>
      </c>
      <c r="G43" s="103">
        <f t="shared" si="2"/>
        <v>0</v>
      </c>
      <c r="H43" s="103">
        <f t="shared" si="3"/>
        <v>0</v>
      </c>
      <c r="I43" s="89">
        <f t="shared" si="4"/>
        <v>0</v>
      </c>
      <c r="J43" s="104">
        <v>1.0</v>
      </c>
      <c r="K43" s="111"/>
      <c r="L43" s="106">
        <v>0.1</v>
      </c>
      <c r="M43" s="107">
        <v>0.014</v>
      </c>
      <c r="N43" s="108"/>
      <c r="O43" s="109"/>
      <c r="P43" s="110"/>
    </row>
    <row r="44">
      <c r="A44" s="97" t="s">
        <v>377</v>
      </c>
      <c r="B44" s="52" t="s">
        <v>423</v>
      </c>
      <c r="C44" s="99" t="s">
        <v>425</v>
      </c>
      <c r="D44" s="100"/>
      <c r="E44" s="101">
        <v>2.0</v>
      </c>
      <c r="F44" s="56">
        <f t="shared" si="1"/>
        <v>1</v>
      </c>
      <c r="G44" s="103">
        <f t="shared" si="2"/>
        <v>2</v>
      </c>
      <c r="H44" s="103">
        <f t="shared" si="3"/>
        <v>0</v>
      </c>
      <c r="I44" s="89">
        <f t="shared" si="4"/>
        <v>0</v>
      </c>
      <c r="J44" s="104">
        <v>1.0</v>
      </c>
      <c r="K44" s="111"/>
      <c r="L44" s="106">
        <v>0.1</v>
      </c>
      <c r="M44" s="107">
        <v>0.014</v>
      </c>
      <c r="N44" s="108"/>
      <c r="O44" s="109"/>
      <c r="P44" s="110"/>
    </row>
    <row r="45">
      <c r="A45" s="97" t="s">
        <v>377</v>
      </c>
      <c r="B45" s="52" t="s">
        <v>423</v>
      </c>
      <c r="C45" s="99" t="s">
        <v>426</v>
      </c>
      <c r="D45" s="100"/>
      <c r="E45" s="101">
        <v>2.0</v>
      </c>
      <c r="F45" s="56">
        <f t="shared" si="1"/>
        <v>1</v>
      </c>
      <c r="G45" s="103">
        <f t="shared" si="2"/>
        <v>2</v>
      </c>
      <c r="H45" s="103">
        <f t="shared" si="3"/>
        <v>0</v>
      </c>
      <c r="I45" s="89">
        <f t="shared" si="4"/>
        <v>0</v>
      </c>
      <c r="J45" s="104">
        <v>1.0</v>
      </c>
      <c r="K45" s="111"/>
      <c r="L45" s="106">
        <v>0.1</v>
      </c>
      <c r="M45" s="107">
        <v>0.014</v>
      </c>
      <c r="N45" s="108"/>
      <c r="O45" s="109"/>
      <c r="P45" s="110"/>
    </row>
    <row r="46">
      <c r="A46" s="112" t="s">
        <v>377</v>
      </c>
      <c r="B46" s="160" t="s">
        <v>423</v>
      </c>
      <c r="C46" s="114" t="s">
        <v>427</v>
      </c>
      <c r="D46" s="115"/>
      <c r="E46" s="116">
        <v>2.0</v>
      </c>
      <c r="F46" s="161">
        <f t="shared" si="1"/>
        <v>1</v>
      </c>
      <c r="G46" s="118">
        <f t="shared" si="2"/>
        <v>2</v>
      </c>
      <c r="H46" s="118">
        <f t="shared" si="3"/>
        <v>0</v>
      </c>
      <c r="I46" s="119">
        <f t="shared" si="4"/>
        <v>0</v>
      </c>
      <c r="J46" s="120">
        <v>1.0</v>
      </c>
      <c r="K46" s="121"/>
      <c r="L46" s="122">
        <v>0.1</v>
      </c>
      <c r="M46" s="123">
        <v>0.014</v>
      </c>
      <c r="N46" s="124"/>
      <c r="O46" s="125"/>
      <c r="P46" s="126"/>
    </row>
  </sheetData>
  <mergeCells count="54">
    <mergeCell ref="A1:B3"/>
    <mergeCell ref="C1:D3"/>
    <mergeCell ref="N1:O1"/>
    <mergeCell ref="G2:G3"/>
    <mergeCell ref="J2:J3"/>
    <mergeCell ref="L2:L3"/>
    <mergeCell ref="M2:M3"/>
    <mergeCell ref="A5:B5"/>
    <mergeCell ref="D5:D6"/>
    <mergeCell ref="E5:E6"/>
    <mergeCell ref="F5:G5"/>
    <mergeCell ref="L5:L6"/>
    <mergeCell ref="N5:O6"/>
    <mergeCell ref="P5:P6"/>
    <mergeCell ref="N7:O7"/>
    <mergeCell ref="N8:O8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42:O42"/>
    <mergeCell ref="N43:O43"/>
    <mergeCell ref="N44:O44"/>
    <mergeCell ref="N45:O45"/>
    <mergeCell ref="N46:O46"/>
    <mergeCell ref="N35:O35"/>
    <mergeCell ref="N36:O36"/>
    <mergeCell ref="N37:O37"/>
    <mergeCell ref="N38:O38"/>
    <mergeCell ref="N39:O39"/>
    <mergeCell ref="N40:O40"/>
    <mergeCell ref="N41:O41"/>
  </mergeCells>
  <conditionalFormatting sqref="F7:F46">
    <cfRule type="cellIs" dxfId="0" priority="1" operator="lessThan">
      <formula>0</formula>
    </cfRule>
  </conditionalFormatting>
  <dataValidations>
    <dataValidation type="list" allowBlank="1" sqref="L2 P2 L7:L46">
      <formula1>'Postres i Gelats - La Parròquia'!$E$2:$E$3</formula1>
    </dataValidation>
    <dataValidation type="list" allowBlank="1" sqref="M2 M7:M46">
      <formula1>'Postres i Gelats - La Parròquia'!$F$2:$F$4</formula1>
    </dataValidation>
  </dataValidations>
  <printOptions gridLines="1" horizontalCentered="1"/>
  <pageMargins bottom="0.6" footer="0.0" header="0.0" left="1.1811023622047243" right="1.9465762982158878" top="0.6"/>
  <pageSetup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4.25"/>
    <col customWidth="1" min="2" max="2" width="28.75"/>
  </cols>
  <sheetData>
    <row r="1">
      <c r="A1" s="191" t="s">
        <v>428</v>
      </c>
      <c r="B1" s="192" t="s">
        <v>429</v>
      </c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</row>
    <row r="2">
      <c r="A2" s="194" t="s">
        <v>307</v>
      </c>
      <c r="B2" s="195" t="s">
        <v>430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</row>
    <row r="3">
      <c r="A3" s="194" t="s">
        <v>325</v>
      </c>
      <c r="B3" s="195" t="s">
        <v>431</v>
      </c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</row>
    <row r="4">
      <c r="A4" s="194" t="s">
        <v>432</v>
      </c>
      <c r="B4" s="195" t="s">
        <v>433</v>
      </c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</row>
    <row r="5">
      <c r="A5" s="194" t="s">
        <v>221</v>
      </c>
      <c r="B5" s="195" t="s">
        <v>434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</row>
    <row r="6">
      <c r="A6" s="194" t="s">
        <v>435</v>
      </c>
      <c r="B6" s="195" t="s">
        <v>436</v>
      </c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</row>
    <row r="7">
      <c r="A7" s="194" t="s">
        <v>437</v>
      </c>
      <c r="B7" s="195" t="s">
        <v>438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</row>
    <row r="8">
      <c r="A8" s="194" t="s">
        <v>228</v>
      </c>
      <c r="B8" s="195" t="s">
        <v>439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</row>
    <row r="9">
      <c r="A9" s="194" t="s">
        <v>248</v>
      </c>
      <c r="B9" s="195" t="s">
        <v>440</v>
      </c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</row>
    <row r="10">
      <c r="A10" s="194" t="s">
        <v>230</v>
      </c>
      <c r="B10" s="195" t="s">
        <v>441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</row>
    <row r="11">
      <c r="A11" s="194" t="s">
        <v>328</v>
      </c>
      <c r="B11" s="195" t="s">
        <v>442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196"/>
      <c r="R11" s="196"/>
      <c r="S11" s="196"/>
      <c r="T11" s="196"/>
      <c r="U11" s="196"/>
      <c r="V11" s="196"/>
      <c r="W11" s="196"/>
    </row>
    <row r="12">
      <c r="A12" s="194" t="s">
        <v>443</v>
      </c>
      <c r="B12" s="195" t="s">
        <v>444</v>
      </c>
      <c r="C12" s="196"/>
      <c r="D12" s="196"/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</row>
    <row r="13">
      <c r="A13" s="194" t="s">
        <v>308</v>
      </c>
      <c r="B13" s="195" t="s">
        <v>445</v>
      </c>
      <c r="C13" s="196"/>
      <c r="D13" s="196"/>
      <c r="E13" s="196"/>
      <c r="F13" s="196"/>
      <c r="G13" s="196"/>
      <c r="H13" s="196"/>
      <c r="I13" s="196"/>
      <c r="J13" s="196"/>
      <c r="K13" s="196"/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</row>
    <row r="14">
      <c r="A14" s="194" t="s">
        <v>309</v>
      </c>
      <c r="B14" s="195" t="s">
        <v>446</v>
      </c>
      <c r="C14" s="196"/>
      <c r="D14" s="196"/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</row>
    <row r="15">
      <c r="A15" s="194" t="s">
        <v>329</v>
      </c>
      <c r="B15" s="195" t="s">
        <v>447</v>
      </c>
      <c r="C15" s="196"/>
      <c r="D15" s="196"/>
      <c r="E15" s="196"/>
      <c r="F15" s="196"/>
      <c r="G15" s="196"/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</row>
    <row r="16">
      <c r="A16" s="194" t="s">
        <v>330</v>
      </c>
      <c r="B16" s="195" t="s">
        <v>448</v>
      </c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</row>
    <row r="17">
      <c r="A17" s="194" t="s">
        <v>249</v>
      </c>
      <c r="B17" s="195" t="s">
        <v>449</v>
      </c>
      <c r="C17" s="196"/>
      <c r="D17" s="196"/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</row>
    <row r="18">
      <c r="A18" s="194" t="s">
        <v>333</v>
      </c>
      <c r="B18" s="195" t="s">
        <v>450</v>
      </c>
      <c r="C18" s="196"/>
      <c r="D18" s="196"/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</row>
    <row r="19">
      <c r="A19" s="194" t="s">
        <v>231</v>
      </c>
      <c r="B19" s="195" t="s">
        <v>451</v>
      </c>
      <c r="C19" s="196"/>
      <c r="D19" s="196"/>
      <c r="E19" s="196"/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</row>
    <row r="20">
      <c r="A20" s="194" t="s">
        <v>452</v>
      </c>
      <c r="B20" s="195" t="s">
        <v>453</v>
      </c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</row>
    <row r="21">
      <c r="A21" s="194" t="s">
        <v>336</v>
      </c>
      <c r="B21" s="195" t="s">
        <v>454</v>
      </c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V21" s="196"/>
      <c r="W21" s="196"/>
    </row>
    <row r="22">
      <c r="A22" s="194" t="s">
        <v>455</v>
      </c>
      <c r="B22" s="195" t="s">
        <v>456</v>
      </c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6"/>
      <c r="W22" s="196"/>
    </row>
    <row r="23">
      <c r="A23" s="194" t="s">
        <v>232</v>
      </c>
      <c r="B23" s="195" t="s">
        <v>457</v>
      </c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6"/>
      <c r="W23" s="196"/>
    </row>
    <row r="24">
      <c r="A24" s="194" t="s">
        <v>253</v>
      </c>
      <c r="B24" s="195" t="s">
        <v>458</v>
      </c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6"/>
    </row>
    <row r="25">
      <c r="A25" s="194" t="s">
        <v>224</v>
      </c>
      <c r="B25" s="195" t="s">
        <v>459</v>
      </c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6"/>
    </row>
    <row r="26">
      <c r="A26" s="194" t="s">
        <v>460</v>
      </c>
      <c r="B26" s="195" t="s">
        <v>461</v>
      </c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</row>
    <row r="27">
      <c r="A27" s="194" t="s">
        <v>462</v>
      </c>
      <c r="B27" s="195" t="s">
        <v>463</v>
      </c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</row>
    <row r="28">
      <c r="A28" s="194" t="s">
        <v>350</v>
      </c>
      <c r="B28" s="195" t="s">
        <v>464</v>
      </c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</row>
    <row r="29">
      <c r="A29" s="194" t="s">
        <v>351</v>
      </c>
      <c r="B29" s="195" t="s">
        <v>465</v>
      </c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</row>
    <row r="30">
      <c r="A30" s="194" t="s">
        <v>352</v>
      </c>
      <c r="B30" s="195" t="s">
        <v>466</v>
      </c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196"/>
    </row>
    <row r="31">
      <c r="A31" s="194" t="s">
        <v>258</v>
      </c>
      <c r="B31" s="195" t="s">
        <v>467</v>
      </c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</row>
    <row r="32">
      <c r="A32" s="194" t="s">
        <v>353</v>
      </c>
      <c r="B32" s="195" t="s">
        <v>468</v>
      </c>
      <c r="C32" s="196"/>
      <c r="D32" s="196"/>
      <c r="E32" s="196"/>
      <c r="F32" s="196"/>
      <c r="G32" s="196"/>
      <c r="H32" s="196"/>
      <c r="I32" s="196"/>
      <c r="J32" s="196"/>
      <c r="K32" s="196"/>
      <c r="L32" s="196"/>
      <c r="M32" s="196"/>
      <c r="N32" s="196"/>
      <c r="O32" s="196"/>
      <c r="P32" s="196"/>
      <c r="Q32" s="196"/>
      <c r="R32" s="196"/>
      <c r="S32" s="196"/>
      <c r="T32" s="196"/>
      <c r="U32" s="196"/>
      <c r="V32" s="196"/>
      <c r="W32" s="196"/>
    </row>
    <row r="33">
      <c r="A33" s="194" t="s">
        <v>354</v>
      </c>
      <c r="B33" s="195" t="s">
        <v>469</v>
      </c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</row>
    <row r="34">
      <c r="A34" s="194" t="s">
        <v>355</v>
      </c>
      <c r="B34" s="195" t="s">
        <v>470</v>
      </c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196"/>
    </row>
    <row r="35">
      <c r="A35" s="194" t="s">
        <v>267</v>
      </c>
      <c r="B35" s="195" t="s">
        <v>471</v>
      </c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6"/>
    </row>
    <row r="36">
      <c r="A36" s="194" t="s">
        <v>357</v>
      </c>
      <c r="B36" s="195" t="s">
        <v>472</v>
      </c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</row>
    <row r="37">
      <c r="A37" s="194" t="s">
        <v>358</v>
      </c>
      <c r="B37" s="195" t="s">
        <v>473</v>
      </c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</row>
    <row r="38">
      <c r="A38" s="194" t="s">
        <v>318</v>
      </c>
      <c r="B38" s="195" t="s">
        <v>474</v>
      </c>
      <c r="C38" s="196"/>
      <c r="D38" s="196"/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</row>
    <row r="39">
      <c r="A39" s="194" t="s">
        <v>475</v>
      </c>
      <c r="B39" s="195" t="s">
        <v>476</v>
      </c>
      <c r="C39" s="196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6"/>
    </row>
    <row r="40">
      <c r="A40" s="194" t="s">
        <v>311</v>
      </c>
      <c r="B40" s="195" t="s">
        <v>477</v>
      </c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6"/>
      <c r="Q40" s="196"/>
      <c r="R40" s="196"/>
      <c r="S40" s="196"/>
      <c r="T40" s="196"/>
      <c r="U40" s="196"/>
      <c r="V40" s="196"/>
      <c r="W40" s="196"/>
    </row>
    <row r="41">
      <c r="A41" s="194" t="s">
        <v>234</v>
      </c>
      <c r="B41" s="195" t="s">
        <v>478</v>
      </c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</row>
    <row r="42">
      <c r="A42" s="194" t="s">
        <v>270</v>
      </c>
      <c r="B42" s="195" t="s">
        <v>479</v>
      </c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</row>
    <row r="43">
      <c r="A43" s="194" t="s">
        <v>320</v>
      </c>
      <c r="B43" s="195" t="s">
        <v>480</v>
      </c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</row>
    <row r="44">
      <c r="A44" s="194" t="s">
        <v>359</v>
      </c>
      <c r="B44" s="195" t="s">
        <v>481</v>
      </c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</row>
    <row r="45">
      <c r="A45" s="194" t="s">
        <v>482</v>
      </c>
      <c r="B45" s="195" t="s">
        <v>483</v>
      </c>
      <c r="C45" s="196"/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</row>
    <row r="46">
      <c r="A46" s="194" t="s">
        <v>313</v>
      </c>
      <c r="B46" s="195" t="s">
        <v>484</v>
      </c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</row>
    <row r="47">
      <c r="A47" s="194" t="s">
        <v>273</v>
      </c>
      <c r="B47" s="195" t="s">
        <v>485</v>
      </c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</row>
    <row r="48">
      <c r="A48" s="197" t="s">
        <v>235</v>
      </c>
      <c r="B48" s="195" t="s">
        <v>486</v>
      </c>
      <c r="C48" s="196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</row>
    <row r="49">
      <c r="A49" s="194" t="s">
        <v>487</v>
      </c>
      <c r="B49" s="195" t="s">
        <v>488</v>
      </c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</row>
    <row r="50">
      <c r="A50" s="197" t="s">
        <v>278</v>
      </c>
      <c r="B50" s="195" t="s">
        <v>489</v>
      </c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</row>
    <row r="51">
      <c r="A51" s="194" t="s">
        <v>236</v>
      </c>
      <c r="B51" s="195" t="s">
        <v>490</v>
      </c>
      <c r="C51" s="196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</row>
    <row r="52">
      <c r="A52" s="194" t="s">
        <v>364</v>
      </c>
      <c r="B52" s="195" t="s">
        <v>491</v>
      </c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</row>
    <row r="53">
      <c r="A53" s="194" t="s">
        <v>365</v>
      </c>
      <c r="B53" s="195" t="s">
        <v>492</v>
      </c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</row>
    <row r="54">
      <c r="A54" s="194" t="s">
        <v>493</v>
      </c>
      <c r="B54" s="195" t="s">
        <v>494</v>
      </c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</row>
    <row r="55">
      <c r="A55" s="194" t="s">
        <v>495</v>
      </c>
      <c r="B55" s="195" t="s">
        <v>496</v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</row>
    <row r="56">
      <c r="A56" s="194" t="s">
        <v>367</v>
      </c>
      <c r="B56" s="195" t="s">
        <v>497</v>
      </c>
      <c r="C56" s="196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</row>
    <row r="57">
      <c r="A57" s="194" t="s">
        <v>314</v>
      </c>
      <c r="B57" s="195" t="s">
        <v>498</v>
      </c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</row>
    <row r="58">
      <c r="A58" s="194" t="s">
        <v>240</v>
      </c>
      <c r="B58" s="195" t="s">
        <v>499</v>
      </c>
      <c r="C58" s="196"/>
      <c r="D58" s="196"/>
      <c r="E58" s="196"/>
      <c r="F58" s="196"/>
      <c r="G58" s="196"/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</row>
    <row r="59">
      <c r="A59" s="194" t="s">
        <v>291</v>
      </c>
      <c r="B59" s="195" t="s">
        <v>500</v>
      </c>
      <c r="C59" s="196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6"/>
    </row>
    <row r="60">
      <c r="A60" s="194" t="s">
        <v>241</v>
      </c>
      <c r="B60" s="195" t="s">
        <v>501</v>
      </c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6"/>
    </row>
    <row r="61">
      <c r="A61" s="194" t="s">
        <v>373</v>
      </c>
      <c r="B61" s="195" t="s">
        <v>502</v>
      </c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</row>
    <row r="62">
      <c r="A62" s="194" t="s">
        <v>374</v>
      </c>
      <c r="B62" s="195" t="s">
        <v>503</v>
      </c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</row>
    <row r="63">
      <c r="A63" s="194" t="s">
        <v>242</v>
      </c>
      <c r="B63" s="195" t="s">
        <v>504</v>
      </c>
      <c r="C63" s="19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</row>
    <row r="64">
      <c r="A64" s="194" t="s">
        <v>243</v>
      </c>
      <c r="B64" s="195" t="s">
        <v>505</v>
      </c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</row>
    <row r="65">
      <c r="A65" s="196"/>
      <c r="B65" s="196"/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</row>
    <row r="66">
      <c r="A66" s="196"/>
      <c r="B66" s="196"/>
      <c r="C66" s="196"/>
      <c r="D66" s="196"/>
      <c r="E66" s="196"/>
      <c r="F66" s="196"/>
      <c r="G66" s="196"/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</row>
    <row r="67">
      <c r="A67" s="196"/>
      <c r="B67" s="196"/>
      <c r="C67" s="196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</row>
    <row r="68">
      <c r="A68" s="196"/>
      <c r="B68" s="196"/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</row>
    <row r="69">
      <c r="A69" s="196"/>
      <c r="B69" s="196"/>
      <c r="C69" s="196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6"/>
    </row>
    <row r="70">
      <c r="A70" s="196"/>
      <c r="B70" s="196"/>
      <c r="C70" s="196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</row>
    <row r="71">
      <c r="A71" s="196"/>
      <c r="B71" s="196"/>
      <c r="C71" s="196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</row>
    <row r="72">
      <c r="A72" s="196"/>
      <c r="B72" s="196"/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</row>
    <row r="73">
      <c r="A73" s="196"/>
      <c r="B73" s="196"/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196"/>
      <c r="S73" s="196"/>
      <c r="T73" s="196"/>
      <c r="U73" s="196"/>
      <c r="V73" s="196"/>
      <c r="W73" s="196"/>
    </row>
    <row r="74">
      <c r="A74" s="196"/>
      <c r="B74" s="196"/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</row>
    <row r="75">
      <c r="A75" s="196"/>
      <c r="B75" s="196"/>
      <c r="C75" s="196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6"/>
    </row>
    <row r="76">
      <c r="A76" s="196"/>
      <c r="B76" s="196"/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</row>
    <row r="77">
      <c r="A77" s="196"/>
      <c r="B77" s="196"/>
      <c r="C77" s="196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</row>
    <row r="78">
      <c r="A78" s="196"/>
      <c r="B78" s="196"/>
      <c r="C78" s="196"/>
      <c r="D78" s="196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6"/>
      <c r="W78" s="196"/>
    </row>
    <row r="79">
      <c r="A79" s="196"/>
      <c r="B79" s="196"/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</row>
    <row r="80">
      <c r="A80" s="196"/>
      <c r="B80" s="196"/>
      <c r="C80" s="196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</row>
    <row r="81">
      <c r="A81" s="196"/>
      <c r="B81" s="196"/>
      <c r="C81" s="196"/>
      <c r="D81" s="196"/>
      <c r="E81" s="196"/>
      <c r="F81" s="196"/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6"/>
    </row>
    <row r="82">
      <c r="A82" s="196"/>
      <c r="B82" s="196"/>
      <c r="C82" s="196"/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</row>
    <row r="83">
      <c r="A83" s="196"/>
      <c r="B83" s="196"/>
      <c r="C83" s="196"/>
      <c r="D83" s="196"/>
      <c r="E83" s="196"/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</row>
    <row r="84">
      <c r="A84" s="196"/>
      <c r="B84" s="196"/>
      <c r="C84" s="196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6"/>
    </row>
    <row r="85">
      <c r="A85" s="196"/>
      <c r="B85" s="196"/>
      <c r="C85" s="196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</row>
    <row r="86">
      <c r="A86" s="196"/>
      <c r="B86" s="196"/>
      <c r="C86" s="196"/>
      <c r="D86" s="196"/>
      <c r="E86" s="196"/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6"/>
    </row>
    <row r="87">
      <c r="A87" s="196"/>
      <c r="B87" s="196"/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</row>
    <row r="88">
      <c r="A88" s="196"/>
      <c r="B88" s="196"/>
      <c r="C88" s="196"/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</row>
    <row r="89">
      <c r="A89" s="196"/>
      <c r="B89" s="196"/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6"/>
    </row>
    <row r="90">
      <c r="A90" s="196"/>
      <c r="B90" s="196"/>
      <c r="C90" s="196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6"/>
      <c r="W90" s="196"/>
    </row>
    <row r="91">
      <c r="A91" s="196"/>
      <c r="B91" s="196"/>
      <c r="C91" s="196"/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6"/>
    </row>
    <row r="92">
      <c r="A92" s="196"/>
      <c r="B92" s="196"/>
      <c r="C92" s="196"/>
      <c r="D92" s="196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6"/>
    </row>
    <row r="93">
      <c r="A93" s="196"/>
      <c r="B93" s="196"/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6"/>
    </row>
    <row r="94">
      <c r="A94" s="196"/>
      <c r="B94" s="196"/>
      <c r="C94" s="196"/>
      <c r="D94" s="196"/>
      <c r="E94" s="196"/>
      <c r="F94" s="196"/>
      <c r="G94" s="196"/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6"/>
    </row>
    <row r="95">
      <c r="A95" s="196"/>
      <c r="B95" s="196"/>
      <c r="C95" s="196"/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</row>
    <row r="96">
      <c r="A96" s="196"/>
      <c r="B96" s="196"/>
      <c r="C96" s="196"/>
      <c r="D96" s="196"/>
      <c r="E96" s="196"/>
      <c r="F96" s="196"/>
      <c r="G96" s="196"/>
      <c r="H96" s="196"/>
      <c r="I96" s="196"/>
      <c r="J96" s="196"/>
      <c r="K96" s="196"/>
      <c r="L96" s="196"/>
      <c r="M96" s="196"/>
      <c r="N96" s="196"/>
      <c r="O96" s="196"/>
      <c r="P96" s="196"/>
      <c r="Q96" s="196"/>
      <c r="R96" s="196"/>
      <c r="S96" s="196"/>
      <c r="T96" s="196"/>
      <c r="U96" s="196"/>
      <c r="V96" s="196"/>
      <c r="W96" s="196"/>
    </row>
    <row r="97">
      <c r="A97" s="196"/>
      <c r="B97" s="196"/>
      <c r="C97" s="196"/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196"/>
      <c r="R97" s="196"/>
      <c r="S97" s="196"/>
      <c r="T97" s="196"/>
      <c r="U97" s="196"/>
      <c r="V97" s="196"/>
      <c r="W97" s="196"/>
    </row>
    <row r="98">
      <c r="A98" s="196"/>
      <c r="B98" s="196"/>
      <c r="C98" s="196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</row>
    <row r="99">
      <c r="A99" s="196"/>
      <c r="B99" s="196"/>
      <c r="C99" s="196"/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6"/>
    </row>
    <row r="100">
      <c r="A100" s="196"/>
      <c r="B100" s="196"/>
      <c r="C100" s="196"/>
      <c r="D100" s="196"/>
      <c r="E100" s="196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</row>
    <row r="101">
      <c r="A101" s="196"/>
      <c r="B101" s="196"/>
      <c r="C101" s="196"/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</row>
    <row r="102">
      <c r="A102" s="196"/>
      <c r="B102" s="196"/>
      <c r="C102" s="196"/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</row>
    <row r="103">
      <c r="A103" s="196"/>
      <c r="B103" s="196"/>
      <c r="C103" s="196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</row>
    <row r="104">
      <c r="A104" s="196"/>
      <c r="B104" s="196"/>
      <c r="C104" s="196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</row>
    <row r="105">
      <c r="A105" s="196"/>
      <c r="B105" s="196"/>
      <c r="C105" s="196"/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</row>
    <row r="106">
      <c r="A106" s="196"/>
      <c r="B106" s="196"/>
      <c r="C106" s="196"/>
      <c r="D106" s="196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</row>
    <row r="107">
      <c r="A107" s="196"/>
      <c r="B107" s="196"/>
      <c r="C107" s="196"/>
      <c r="D107" s="196"/>
      <c r="E107" s="196"/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</row>
    <row r="108">
      <c r="A108" s="196"/>
      <c r="B108" s="196"/>
      <c r="C108" s="196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</row>
    <row r="109">
      <c r="A109" s="196"/>
      <c r="B109" s="196"/>
      <c r="C109" s="196"/>
      <c r="D109" s="196"/>
      <c r="E109" s="196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</row>
    <row r="110">
      <c r="A110" s="196"/>
      <c r="B110" s="196"/>
      <c r="C110" s="196"/>
      <c r="D110" s="196"/>
      <c r="E110" s="196"/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</row>
    <row r="111">
      <c r="A111" s="196"/>
      <c r="B111" s="196"/>
      <c r="C111" s="196"/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</row>
    <row r="112">
      <c r="A112" s="196"/>
      <c r="B112" s="196"/>
      <c r="C112" s="196"/>
      <c r="D112" s="196"/>
      <c r="E112" s="196"/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</row>
    <row r="113">
      <c r="A113" s="196"/>
      <c r="B113" s="196"/>
      <c r="C113" s="196"/>
      <c r="D113" s="196"/>
      <c r="E113" s="196"/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</row>
    <row r="114">
      <c r="A114" s="196"/>
      <c r="B114" s="196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</row>
    <row r="115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</row>
    <row r="116">
      <c r="A116" s="196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</row>
    <row r="117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</row>
    <row r="118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</row>
    <row r="119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</row>
    <row r="120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</row>
    <row r="121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</row>
    <row r="122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</row>
    <row r="123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</row>
    <row r="124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</row>
    <row r="125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</row>
    <row r="126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</row>
    <row r="127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</row>
    <row r="128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</row>
    <row r="129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</row>
    <row r="130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</row>
    <row r="131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</row>
    <row r="132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</row>
    <row r="133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</row>
    <row r="134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</row>
    <row r="135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</row>
    <row r="136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</row>
    <row r="137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</row>
    <row r="138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</row>
    <row r="139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</row>
    <row r="140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</row>
    <row r="141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</row>
    <row r="142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</row>
    <row r="143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</row>
    <row r="144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</row>
    <row r="145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</row>
    <row r="146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</row>
    <row r="147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</row>
    <row r="148">
      <c r="A148" s="196"/>
      <c r="B148" s="196"/>
      <c r="C148" s="196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</row>
    <row r="149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</row>
    <row r="150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</row>
    <row r="151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</row>
    <row r="152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</row>
    <row r="153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</row>
    <row r="154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</row>
    <row r="155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</row>
    <row r="156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</row>
    <row r="157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</row>
    <row r="158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</row>
    <row r="159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</row>
    <row r="160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</row>
    <row r="161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</row>
    <row r="162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</row>
    <row r="163">
      <c r="A163" s="196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</row>
    <row r="164">
      <c r="A164" s="196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</row>
    <row r="165">
      <c r="A165" s="196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</row>
    <row r="166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</row>
    <row r="167">
      <c r="A167" s="196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</row>
    <row r="168">
      <c r="A168" s="196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</row>
    <row r="169">
      <c r="A169" s="196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</row>
    <row r="170">
      <c r="A170" s="196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</row>
    <row r="171">
      <c r="A171" s="196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</row>
    <row r="172">
      <c r="A172" s="196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</row>
    <row r="173">
      <c r="A173" s="196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</row>
    <row r="174">
      <c r="A174" s="196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</row>
    <row r="175">
      <c r="A175" s="196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</row>
    <row r="176">
      <c r="A176" s="196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</row>
    <row r="177">
      <c r="A177" s="196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</row>
    <row r="178">
      <c r="A178" s="196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</row>
    <row r="179">
      <c r="A179" s="196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</row>
    <row r="180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</row>
    <row r="181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</row>
    <row r="182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</row>
    <row r="183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</row>
    <row r="184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</row>
    <row r="185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</row>
    <row r="186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</row>
    <row r="187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</row>
    <row r="188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</row>
    <row r="189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</row>
    <row r="190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</row>
    <row r="191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</row>
    <row r="192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</row>
    <row r="193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</row>
    <row r="194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</row>
    <row r="195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</row>
    <row r="196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</row>
    <row r="197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</row>
    <row r="198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</row>
    <row r="199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</row>
    <row r="200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</row>
    <row r="20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</row>
    <row r="202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</row>
    <row r="203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</row>
    <row r="204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</row>
    <row r="205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</row>
    <row r="206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</row>
    <row r="207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</row>
    <row r="208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</row>
    <row r="209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</row>
    <row r="210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</row>
    <row r="21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</row>
    <row r="212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</row>
    <row r="213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</row>
    <row r="214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</row>
    <row r="215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</row>
    <row r="216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</row>
    <row r="217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</row>
    <row r="218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</row>
    <row r="219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</row>
    <row r="220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</row>
    <row r="22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</row>
    <row r="222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</row>
    <row r="223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</row>
    <row r="224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</row>
    <row r="225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</row>
    <row r="226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</row>
    <row r="227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</row>
    <row r="228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</row>
    <row r="229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</row>
    <row r="230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</row>
    <row r="23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</row>
    <row r="232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</row>
    <row r="233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</row>
    <row r="234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</row>
    <row r="235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</row>
    <row r="236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</row>
    <row r="237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</row>
    <row r="238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</row>
    <row r="239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</row>
    <row r="240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</row>
    <row r="24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</row>
    <row r="242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</row>
    <row r="243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</row>
    <row r="244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</row>
    <row r="245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</row>
    <row r="246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</row>
    <row r="247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</row>
    <row r="248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</row>
    <row r="249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</row>
    <row r="250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</row>
    <row r="25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</row>
    <row r="252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</row>
    <row r="253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</row>
    <row r="254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</row>
    <row r="255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</row>
    <row r="256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</row>
    <row r="257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</row>
    <row r="258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</row>
    <row r="259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</row>
    <row r="260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</row>
    <row r="261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</row>
    <row r="262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</row>
    <row r="263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</row>
    <row r="264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</row>
    <row r="265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</row>
    <row r="266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</row>
    <row r="267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</row>
    <row r="268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</row>
    <row r="269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</row>
    <row r="270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</row>
    <row r="271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</row>
    <row r="272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</row>
    <row r="273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</row>
    <row r="274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</row>
    <row r="275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</row>
    <row r="276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</row>
    <row r="277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</row>
    <row r="278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</row>
    <row r="279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</row>
    <row r="280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</row>
    <row r="281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</row>
    <row r="282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</row>
    <row r="283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</row>
    <row r="284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</row>
    <row r="285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</row>
    <row r="286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</row>
    <row r="287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</row>
    <row r="288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</row>
    <row r="289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</row>
    <row r="290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</row>
    <row r="291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</row>
    <row r="292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</row>
    <row r="293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</row>
    <row r="294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</row>
    <row r="295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</row>
    <row r="296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</row>
    <row r="297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</row>
    <row r="298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</row>
    <row r="299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</row>
    <row r="300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</row>
    <row r="301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</row>
    <row r="302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</row>
    <row r="303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</row>
    <row r="304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</row>
    <row r="305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</row>
    <row r="306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</row>
    <row r="307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</row>
    <row r="308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</row>
    <row r="309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</row>
    <row r="310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</row>
    <row r="311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</row>
    <row r="312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</row>
    <row r="313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</row>
    <row r="314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</row>
    <row r="315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</row>
    <row r="316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</row>
    <row r="317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</row>
    <row r="318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</row>
    <row r="319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</row>
    <row r="320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</row>
    <row r="321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</row>
    <row r="322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</row>
    <row r="323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</row>
    <row r="324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</row>
    <row r="325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</row>
    <row r="326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</row>
    <row r="327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</row>
    <row r="328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</row>
    <row r="329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</row>
    <row r="330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</row>
    <row r="331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</row>
    <row r="332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</row>
    <row r="333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</row>
    <row r="334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</row>
    <row r="335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</row>
    <row r="336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</row>
    <row r="337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</row>
    <row r="338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</row>
    <row r="339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</row>
    <row r="340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</row>
    <row r="341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</row>
    <row r="342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</row>
    <row r="343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</row>
    <row r="344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</row>
    <row r="345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</row>
    <row r="346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</row>
    <row r="347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</row>
    <row r="348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</row>
    <row r="349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</row>
    <row r="350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</row>
    <row r="351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</row>
    <row r="352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</row>
    <row r="353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</row>
    <row r="354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</row>
    <row r="355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</row>
    <row r="356">
      <c r="A356" s="196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</row>
    <row r="357">
      <c r="A357" s="196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</row>
    <row r="358">
      <c r="A358" s="196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</row>
    <row r="359">
      <c r="A359" s="196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</row>
    <row r="360">
      <c r="A360" s="196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</row>
    <row r="361">
      <c r="A361" s="196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</row>
    <row r="362">
      <c r="A362" s="196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</row>
    <row r="363">
      <c r="A363" s="196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</row>
    <row r="364">
      <c r="A364" s="196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</row>
    <row r="365">
      <c r="A365" s="196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</row>
    <row r="366">
      <c r="A366" s="196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</row>
    <row r="367">
      <c r="A367" s="196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</row>
    <row r="368">
      <c r="A368" s="196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</row>
    <row r="369">
      <c r="A369" s="196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</row>
    <row r="370">
      <c r="A370" s="196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</row>
    <row r="371">
      <c r="A371" s="196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</row>
    <row r="372">
      <c r="A372" s="196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</row>
    <row r="373">
      <c r="A373" s="196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</row>
    <row r="374">
      <c r="A374" s="196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</row>
    <row r="375">
      <c r="A375" s="196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</row>
    <row r="376">
      <c r="A376" s="196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</row>
    <row r="377">
      <c r="A377" s="196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</row>
    <row r="378">
      <c r="A378" s="196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</row>
    <row r="379">
      <c r="A379" s="196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</row>
    <row r="380">
      <c r="A380" s="196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</row>
    <row r="381">
      <c r="A381" s="196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</row>
    <row r="382">
      <c r="A382" s="196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</row>
    <row r="383">
      <c r="A383" s="196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</row>
    <row r="384">
      <c r="A384" s="196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</row>
    <row r="385">
      <c r="A385" s="196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</row>
    <row r="386">
      <c r="A386" s="196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</row>
    <row r="387">
      <c r="A387" s="196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</row>
    <row r="388">
      <c r="A388" s="196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</row>
    <row r="389">
      <c r="A389" s="196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</row>
    <row r="390">
      <c r="A390" s="196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</row>
    <row r="391">
      <c r="A391" s="196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</row>
    <row r="392">
      <c r="A392" s="196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</row>
    <row r="393">
      <c r="A393" s="196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</row>
    <row r="394">
      <c r="A394" s="196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</row>
    <row r="395">
      <c r="A395" s="196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</row>
    <row r="396">
      <c r="A396" s="196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</row>
    <row r="397">
      <c r="A397" s="196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</row>
    <row r="398">
      <c r="A398" s="196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</row>
    <row r="399">
      <c r="A399" s="196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</row>
    <row r="400">
      <c r="A400" s="196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</row>
    <row r="401">
      <c r="A401" s="196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</row>
    <row r="402">
      <c r="A402" s="196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</row>
    <row r="403">
      <c r="A403" s="196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</row>
    <row r="404">
      <c r="A404" s="196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</row>
    <row r="405">
      <c r="A405" s="196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</row>
    <row r="406">
      <c r="A406" s="196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</row>
    <row r="407">
      <c r="A407" s="196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</row>
    <row r="408">
      <c r="A408" s="196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</row>
    <row r="409">
      <c r="A409" s="196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</row>
    <row r="410">
      <c r="A410" s="196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</row>
    <row r="411">
      <c r="A411" s="196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</row>
    <row r="412">
      <c r="A412" s="196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</row>
    <row r="413">
      <c r="A413" s="196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</row>
    <row r="414">
      <c r="A414" s="196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</row>
    <row r="415">
      <c r="A415" s="196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</row>
    <row r="416">
      <c r="A416" s="196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</row>
    <row r="417">
      <c r="A417" s="196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</row>
    <row r="418">
      <c r="A418" s="196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</row>
    <row r="419">
      <c r="A419" s="196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</row>
    <row r="420">
      <c r="A420" s="196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</row>
    <row r="421">
      <c r="A421" s="196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</row>
    <row r="422">
      <c r="A422" s="196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</row>
    <row r="423">
      <c r="A423" s="196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</row>
    <row r="424">
      <c r="A424" s="196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</row>
    <row r="425">
      <c r="A425" s="196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</row>
    <row r="426">
      <c r="A426" s="196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</row>
    <row r="427">
      <c r="A427" s="196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</row>
    <row r="428">
      <c r="A428" s="196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</row>
    <row r="429">
      <c r="A429" s="196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</row>
    <row r="430">
      <c r="A430" s="196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</row>
    <row r="431">
      <c r="A431" s="196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</row>
    <row r="432">
      <c r="A432" s="196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</row>
    <row r="433">
      <c r="A433" s="196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</row>
    <row r="434">
      <c r="A434" s="196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</row>
    <row r="435">
      <c r="A435" s="196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</row>
    <row r="436">
      <c r="A436" s="196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</row>
    <row r="437">
      <c r="A437" s="196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</row>
    <row r="438">
      <c r="A438" s="196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</row>
    <row r="439">
      <c r="A439" s="196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</row>
    <row r="440">
      <c r="A440" s="196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</row>
    <row r="441">
      <c r="A441" s="196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</row>
    <row r="442">
      <c r="A442" s="196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</row>
    <row r="443">
      <c r="A443" s="196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</row>
    <row r="444">
      <c r="A444" s="196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</row>
    <row r="445">
      <c r="A445" s="196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</row>
    <row r="446">
      <c r="A446" s="196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</row>
    <row r="447">
      <c r="A447" s="196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</row>
    <row r="448">
      <c r="A448" s="196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</row>
    <row r="449">
      <c r="A449" s="196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</row>
    <row r="450">
      <c r="A450" s="196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</row>
    <row r="451">
      <c r="A451" s="196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</row>
    <row r="452">
      <c r="A452" s="196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</row>
    <row r="453">
      <c r="A453" s="196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</row>
    <row r="454">
      <c r="A454" s="196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</row>
    <row r="455">
      <c r="A455" s="196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</row>
    <row r="456">
      <c r="A456" s="196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</row>
    <row r="457">
      <c r="A457" s="196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</row>
    <row r="458">
      <c r="A458" s="196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</row>
    <row r="459">
      <c r="A459" s="196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</row>
    <row r="460">
      <c r="A460" s="196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</row>
    <row r="461">
      <c r="A461" s="196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</row>
    <row r="462">
      <c r="A462" s="196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</row>
    <row r="463">
      <c r="A463" s="196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</row>
    <row r="464">
      <c r="A464" s="196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</row>
    <row r="465">
      <c r="A465" s="196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</row>
    <row r="466">
      <c r="A466" s="196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</row>
    <row r="467">
      <c r="A467" s="196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</row>
    <row r="468">
      <c r="A468" s="196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</row>
    <row r="469">
      <c r="A469" s="196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</row>
    <row r="470">
      <c r="A470" s="196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</row>
    <row r="471">
      <c r="A471" s="196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</row>
    <row r="472">
      <c r="A472" s="196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</row>
    <row r="473">
      <c r="A473" s="196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</row>
    <row r="474">
      <c r="A474" s="196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</row>
    <row r="475">
      <c r="A475" s="196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</row>
    <row r="476">
      <c r="A476" s="196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</row>
    <row r="477">
      <c r="A477" s="196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</row>
    <row r="478">
      <c r="A478" s="196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</row>
    <row r="479">
      <c r="A479" s="196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</row>
    <row r="480">
      <c r="A480" s="196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</row>
    <row r="481">
      <c r="A481" s="196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</row>
    <row r="482">
      <c r="A482" s="196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</row>
    <row r="483">
      <c r="A483" s="196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</row>
    <row r="484">
      <c r="A484" s="196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</row>
    <row r="485">
      <c r="A485" s="196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</row>
    <row r="486">
      <c r="A486" s="196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</row>
    <row r="487">
      <c r="A487" s="196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</row>
    <row r="488">
      <c r="A488" s="196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</row>
    <row r="489">
      <c r="A489" s="196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</row>
    <row r="490">
      <c r="A490" s="196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</row>
    <row r="491">
      <c r="A491" s="196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</row>
    <row r="492">
      <c r="A492" s="196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</row>
    <row r="493">
      <c r="A493" s="196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</row>
    <row r="494">
      <c r="A494" s="196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</row>
    <row r="495">
      <c r="A495" s="196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</row>
    <row r="496">
      <c r="A496" s="196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</row>
    <row r="497">
      <c r="A497" s="196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</row>
    <row r="498">
      <c r="A498" s="196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</row>
    <row r="499">
      <c r="A499" s="196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</row>
    <row r="500">
      <c r="A500" s="196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</row>
    <row r="501">
      <c r="A501" s="196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</row>
    <row r="502">
      <c r="A502" s="196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</row>
    <row r="503">
      <c r="A503" s="196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</row>
    <row r="504">
      <c r="A504" s="196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</row>
    <row r="505">
      <c r="A505" s="196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</row>
    <row r="506">
      <c r="A506" s="196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</row>
    <row r="507">
      <c r="A507" s="196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</row>
    <row r="508">
      <c r="A508" s="196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</row>
    <row r="509">
      <c r="A509" s="196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</row>
    <row r="510">
      <c r="A510" s="196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</row>
    <row r="511">
      <c r="A511" s="196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</row>
    <row r="512">
      <c r="A512" s="196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</row>
    <row r="513">
      <c r="A513" s="196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</row>
    <row r="514">
      <c r="A514" s="196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</row>
    <row r="515">
      <c r="A515" s="196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</row>
    <row r="516">
      <c r="A516" s="196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</row>
    <row r="517">
      <c r="A517" s="196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</row>
    <row r="518">
      <c r="A518" s="196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</row>
    <row r="519">
      <c r="A519" s="196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</row>
    <row r="520">
      <c r="A520" s="196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</row>
    <row r="521">
      <c r="A521" s="196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</row>
    <row r="522">
      <c r="A522" s="196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</row>
    <row r="523">
      <c r="A523" s="196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</row>
    <row r="524">
      <c r="A524" s="196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</row>
    <row r="525">
      <c r="A525" s="196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</row>
    <row r="526">
      <c r="A526" s="196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</row>
    <row r="527">
      <c r="A527" s="196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</row>
    <row r="528">
      <c r="A528" s="196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</row>
    <row r="529">
      <c r="A529" s="196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</row>
    <row r="530">
      <c r="A530" s="196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</row>
    <row r="531">
      <c r="A531" s="196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</row>
    <row r="532">
      <c r="A532" s="196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</row>
    <row r="533">
      <c r="A533" s="196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</row>
    <row r="534">
      <c r="A534" s="196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</row>
    <row r="535">
      <c r="A535" s="196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</row>
    <row r="536">
      <c r="A536" s="196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</row>
    <row r="537">
      <c r="A537" s="196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</row>
    <row r="538">
      <c r="A538" s="196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</row>
    <row r="539">
      <c r="A539" s="196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</row>
    <row r="540">
      <c r="A540" s="196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</row>
    <row r="541">
      <c r="A541" s="196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</row>
    <row r="542">
      <c r="A542" s="196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</row>
    <row r="543">
      <c r="A543" s="196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</row>
    <row r="544">
      <c r="A544" s="196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</row>
    <row r="545">
      <c r="A545" s="196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</row>
    <row r="546">
      <c r="A546" s="196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</row>
    <row r="547">
      <c r="A547" s="196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</row>
    <row r="548">
      <c r="A548" s="196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</row>
    <row r="549">
      <c r="A549" s="196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</row>
    <row r="550">
      <c r="A550" s="196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</row>
    <row r="551">
      <c r="A551" s="196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</row>
    <row r="552">
      <c r="A552" s="196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</row>
    <row r="553">
      <c r="A553" s="196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</row>
    <row r="554">
      <c r="A554" s="196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</row>
    <row r="555">
      <c r="A555" s="196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</row>
    <row r="556">
      <c r="A556" s="196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</row>
    <row r="557">
      <c r="A557" s="196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</row>
    <row r="558">
      <c r="A558" s="196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</row>
    <row r="559">
      <c r="A559" s="196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</row>
    <row r="560">
      <c r="A560" s="196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</row>
    <row r="561">
      <c r="A561" s="196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</row>
    <row r="562">
      <c r="A562" s="196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</row>
    <row r="563">
      <c r="A563" s="196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</row>
    <row r="564">
      <c r="A564" s="196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</row>
    <row r="565">
      <c r="A565" s="196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</row>
    <row r="566">
      <c r="A566" s="196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</row>
    <row r="567">
      <c r="A567" s="196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</row>
    <row r="568">
      <c r="A568" s="196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</row>
    <row r="569">
      <c r="A569" s="196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</row>
    <row r="570">
      <c r="A570" s="196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</row>
    <row r="571">
      <c r="A571" s="196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</row>
    <row r="572">
      <c r="A572" s="196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</row>
    <row r="573">
      <c r="A573" s="196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</row>
    <row r="574">
      <c r="A574" s="196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</row>
    <row r="575">
      <c r="A575" s="196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</row>
    <row r="576">
      <c r="A576" s="196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</row>
    <row r="577">
      <c r="A577" s="196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</row>
    <row r="578">
      <c r="A578" s="196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</row>
    <row r="579">
      <c r="A579" s="196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</row>
    <row r="580">
      <c r="A580" s="196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</row>
    <row r="581">
      <c r="A581" s="196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</row>
    <row r="582">
      <c r="A582" s="196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</row>
    <row r="583">
      <c r="A583" s="196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</row>
    <row r="584">
      <c r="A584" s="196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</row>
    <row r="585">
      <c r="A585" s="196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</row>
    <row r="586">
      <c r="A586" s="196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</row>
    <row r="587">
      <c r="A587" s="196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</row>
    <row r="588">
      <c r="A588" s="196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</row>
    <row r="589">
      <c r="A589" s="196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</row>
    <row r="590">
      <c r="A590" s="196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</row>
    <row r="591">
      <c r="A591" s="196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</row>
    <row r="592">
      <c r="A592" s="196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</row>
    <row r="593">
      <c r="A593" s="196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</row>
    <row r="594">
      <c r="A594" s="196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</row>
    <row r="595">
      <c r="A595" s="196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</row>
    <row r="596">
      <c r="A596" s="196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</row>
    <row r="597">
      <c r="A597" s="196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</row>
    <row r="598">
      <c r="A598" s="196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</row>
    <row r="599">
      <c r="A599" s="196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</row>
    <row r="600">
      <c r="A600" s="196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</row>
    <row r="601">
      <c r="A601" s="196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</row>
    <row r="602">
      <c r="A602" s="196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</row>
    <row r="603">
      <c r="A603" s="196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</row>
    <row r="604">
      <c r="A604" s="196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</row>
    <row r="605">
      <c r="A605" s="196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</row>
    <row r="606">
      <c r="A606" s="196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</row>
    <row r="607">
      <c r="A607" s="196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</row>
    <row r="608">
      <c r="A608" s="196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</row>
    <row r="609">
      <c r="A609" s="196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</row>
    <row r="610">
      <c r="A610" s="196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</row>
    <row r="611">
      <c r="A611" s="196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</row>
    <row r="612">
      <c r="A612" s="196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</row>
    <row r="613">
      <c r="A613" s="196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</row>
    <row r="614">
      <c r="A614" s="196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</row>
    <row r="615">
      <c r="A615" s="196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</row>
    <row r="616">
      <c r="A616" s="196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</row>
    <row r="617">
      <c r="A617" s="196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</row>
    <row r="618">
      <c r="A618" s="196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</row>
    <row r="619">
      <c r="A619" s="196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</row>
    <row r="620">
      <c r="A620" s="196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</row>
    <row r="621">
      <c r="A621" s="196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</row>
    <row r="622">
      <c r="A622" s="196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</row>
    <row r="623">
      <c r="A623" s="196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</row>
    <row r="624">
      <c r="A624" s="196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</row>
    <row r="625">
      <c r="A625" s="196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</row>
    <row r="626">
      <c r="A626" s="196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</row>
    <row r="627">
      <c r="A627" s="196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</row>
    <row r="628">
      <c r="A628" s="196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</row>
    <row r="629">
      <c r="A629" s="196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</row>
    <row r="630">
      <c r="A630" s="196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</row>
    <row r="631">
      <c r="A631" s="196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</row>
    <row r="632">
      <c r="A632" s="196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</row>
    <row r="633">
      <c r="A633" s="196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</row>
    <row r="634">
      <c r="A634" s="196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</row>
    <row r="635">
      <c r="A635" s="196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</row>
    <row r="636">
      <c r="A636" s="196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</row>
    <row r="637">
      <c r="A637" s="196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</row>
    <row r="638">
      <c r="A638" s="196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</row>
    <row r="639">
      <c r="A639" s="196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</row>
    <row r="640">
      <c r="A640" s="196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</row>
    <row r="641">
      <c r="A641" s="196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</row>
    <row r="642">
      <c r="A642" s="196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</row>
    <row r="643">
      <c r="A643" s="196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</row>
    <row r="644">
      <c r="A644" s="196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</row>
    <row r="645">
      <c r="A645" s="196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</row>
    <row r="646">
      <c r="A646" s="196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</row>
    <row r="647">
      <c r="A647" s="196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</row>
    <row r="648">
      <c r="A648" s="196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</row>
    <row r="649">
      <c r="A649" s="196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</row>
    <row r="650">
      <c r="A650" s="196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</row>
    <row r="651">
      <c r="A651" s="196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</row>
    <row r="652">
      <c r="A652" s="196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</row>
    <row r="653">
      <c r="A653" s="196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</row>
    <row r="654">
      <c r="A654" s="196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</row>
    <row r="655">
      <c r="A655" s="196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</row>
    <row r="656">
      <c r="A656" s="196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</row>
    <row r="657">
      <c r="A657" s="196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</row>
    <row r="658">
      <c r="A658" s="196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</row>
    <row r="659">
      <c r="A659" s="196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</row>
    <row r="660">
      <c r="A660" s="196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</row>
    <row r="661">
      <c r="A661" s="196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</row>
    <row r="662">
      <c r="A662" s="196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</row>
    <row r="663">
      <c r="A663" s="196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</row>
    <row r="664">
      <c r="A664" s="196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</row>
    <row r="665">
      <c r="A665" s="196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</row>
    <row r="666">
      <c r="A666" s="196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</row>
    <row r="667">
      <c r="A667" s="196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</row>
    <row r="668">
      <c r="A668" s="196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</row>
    <row r="669">
      <c r="A669" s="196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</row>
    <row r="670">
      <c r="A670" s="196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</row>
    <row r="671">
      <c r="A671" s="196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</row>
    <row r="672">
      <c r="A672" s="196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</row>
    <row r="673">
      <c r="A673" s="196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</row>
    <row r="674">
      <c r="A674" s="196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</row>
    <row r="675">
      <c r="A675" s="196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</row>
    <row r="676">
      <c r="A676" s="196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</row>
    <row r="677">
      <c r="A677" s="196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</row>
    <row r="678">
      <c r="A678" s="196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</row>
    <row r="679">
      <c r="A679" s="196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</row>
    <row r="680">
      <c r="A680" s="196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</row>
    <row r="681">
      <c r="A681" s="196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</row>
    <row r="682">
      <c r="A682" s="196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</row>
    <row r="683">
      <c r="A683" s="196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</row>
    <row r="684">
      <c r="A684" s="196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</row>
    <row r="685">
      <c r="A685" s="196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</row>
    <row r="686">
      <c r="A686" s="196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</row>
    <row r="687">
      <c r="A687" s="196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</row>
    <row r="688">
      <c r="A688" s="196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</row>
    <row r="689">
      <c r="A689" s="196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</row>
    <row r="690">
      <c r="A690" s="196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</row>
    <row r="691">
      <c r="A691" s="196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</row>
    <row r="692">
      <c r="A692" s="196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</row>
    <row r="693">
      <c r="A693" s="196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</row>
    <row r="694">
      <c r="A694" s="196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</row>
    <row r="695">
      <c r="A695" s="196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</row>
    <row r="696">
      <c r="A696" s="196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</row>
    <row r="697">
      <c r="A697" s="196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</row>
    <row r="698">
      <c r="A698" s="196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</row>
    <row r="699">
      <c r="A699" s="196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</row>
    <row r="700">
      <c r="A700" s="196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</row>
    <row r="701">
      <c r="A701" s="196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</row>
    <row r="702">
      <c r="A702" s="196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</row>
    <row r="703">
      <c r="A703" s="196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</row>
    <row r="704">
      <c r="A704" s="196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</row>
    <row r="705">
      <c r="A705" s="196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</row>
    <row r="706">
      <c r="A706" s="196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</row>
    <row r="707">
      <c r="A707" s="196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</row>
    <row r="708">
      <c r="A708" s="196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</row>
    <row r="709">
      <c r="A709" s="196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</row>
    <row r="710">
      <c r="A710" s="196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</row>
    <row r="711">
      <c r="A711" s="196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</row>
    <row r="712">
      <c r="A712" s="196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</row>
    <row r="713">
      <c r="A713" s="196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</row>
    <row r="714">
      <c r="A714" s="196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</row>
    <row r="715">
      <c r="A715" s="196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</row>
    <row r="716">
      <c r="A716" s="196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</row>
    <row r="717">
      <c r="A717" s="196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</row>
    <row r="718">
      <c r="A718" s="196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</row>
    <row r="719">
      <c r="A719" s="196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</row>
    <row r="720">
      <c r="A720" s="196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</row>
    <row r="721">
      <c r="A721" s="196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</row>
    <row r="722">
      <c r="A722" s="196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</row>
    <row r="723">
      <c r="A723" s="196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</row>
    <row r="724">
      <c r="A724" s="196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</row>
    <row r="725">
      <c r="A725" s="196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</row>
    <row r="726">
      <c r="A726" s="196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</row>
    <row r="727">
      <c r="A727" s="196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</row>
    <row r="728">
      <c r="A728" s="196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</row>
    <row r="729">
      <c r="A729" s="196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</row>
    <row r="730">
      <c r="A730" s="196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</row>
    <row r="731">
      <c r="A731" s="196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</row>
    <row r="732">
      <c r="A732" s="196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</row>
    <row r="733">
      <c r="A733" s="196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</row>
    <row r="734">
      <c r="A734" s="196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</row>
    <row r="735">
      <c r="A735" s="196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</row>
    <row r="736">
      <c r="A736" s="196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</row>
    <row r="737">
      <c r="A737" s="196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</row>
    <row r="738">
      <c r="A738" s="196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</row>
    <row r="739">
      <c r="A739" s="196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</row>
    <row r="740">
      <c r="A740" s="196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</row>
    <row r="741">
      <c r="A741" s="196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</row>
    <row r="742">
      <c r="A742" s="196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</row>
    <row r="743">
      <c r="A743" s="196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</row>
    <row r="744">
      <c r="A744" s="196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</row>
    <row r="745">
      <c r="A745" s="196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</row>
    <row r="746">
      <c r="A746" s="196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</row>
    <row r="747">
      <c r="A747" s="196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</row>
    <row r="748">
      <c r="A748" s="196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</row>
    <row r="749">
      <c r="A749" s="196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</row>
    <row r="750">
      <c r="A750" s="196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</row>
    <row r="751">
      <c r="A751" s="196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</row>
    <row r="752">
      <c r="A752" s="196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</row>
    <row r="753">
      <c r="A753" s="196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</row>
    <row r="754">
      <c r="A754" s="196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</row>
    <row r="755">
      <c r="A755" s="196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</row>
    <row r="756">
      <c r="A756" s="196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</row>
    <row r="757">
      <c r="A757" s="196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</row>
    <row r="758">
      <c r="A758" s="196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</row>
    <row r="759">
      <c r="A759" s="196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</row>
    <row r="760">
      <c r="A760" s="196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</row>
    <row r="761">
      <c r="A761" s="196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</row>
    <row r="762">
      <c r="A762" s="196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</row>
    <row r="763">
      <c r="A763" s="196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</row>
    <row r="764">
      <c r="A764" s="196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</row>
    <row r="765">
      <c r="A765" s="196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</row>
    <row r="766">
      <c r="A766" s="196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</row>
    <row r="767">
      <c r="A767" s="196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</row>
    <row r="768">
      <c r="A768" s="196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</row>
    <row r="769">
      <c r="A769" s="196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</row>
    <row r="770">
      <c r="A770" s="196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</row>
    <row r="771">
      <c r="A771" s="196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</row>
    <row r="772">
      <c r="A772" s="196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</row>
    <row r="773">
      <c r="A773" s="196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</row>
    <row r="774">
      <c r="A774" s="196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</row>
    <row r="775">
      <c r="A775" s="196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</row>
    <row r="776">
      <c r="A776" s="196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</row>
    <row r="777">
      <c r="A777" s="196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</row>
    <row r="778">
      <c r="A778" s="196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</row>
    <row r="779">
      <c r="A779" s="196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</row>
    <row r="780">
      <c r="A780" s="196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</row>
    <row r="781">
      <c r="A781" s="196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</row>
    <row r="782">
      <c r="A782" s="196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</row>
    <row r="783">
      <c r="A783" s="196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</row>
    <row r="784">
      <c r="A784" s="196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</row>
    <row r="785">
      <c r="A785" s="196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</row>
    <row r="786">
      <c r="A786" s="196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</row>
    <row r="787">
      <c r="A787" s="196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</row>
    <row r="788">
      <c r="A788" s="196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</row>
    <row r="789">
      <c r="A789" s="196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</row>
    <row r="790">
      <c r="A790" s="196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</row>
    <row r="791">
      <c r="A791" s="196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</row>
    <row r="792">
      <c r="A792" s="196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</row>
    <row r="793">
      <c r="A793" s="196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</row>
    <row r="794">
      <c r="A794" s="196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</row>
    <row r="795">
      <c r="A795" s="196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</row>
    <row r="796">
      <c r="A796" s="196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</row>
    <row r="797">
      <c r="A797" s="196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</row>
    <row r="798">
      <c r="A798" s="196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</row>
    <row r="799">
      <c r="A799" s="196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</row>
    <row r="800">
      <c r="A800" s="196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</row>
    <row r="801">
      <c r="A801" s="196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</row>
    <row r="802">
      <c r="A802" s="196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</row>
    <row r="803">
      <c r="A803" s="196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</row>
    <row r="804">
      <c r="A804" s="196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</row>
    <row r="805">
      <c r="A805" s="196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</row>
    <row r="806">
      <c r="A806" s="196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</row>
    <row r="807">
      <c r="A807" s="196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</row>
    <row r="808">
      <c r="A808" s="196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</row>
    <row r="809">
      <c r="A809" s="196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</row>
    <row r="810">
      <c r="A810" s="196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</row>
    <row r="811">
      <c r="A811" s="196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</row>
    <row r="812">
      <c r="A812" s="196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</row>
    <row r="813">
      <c r="A813" s="196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</row>
    <row r="814">
      <c r="A814" s="196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</row>
    <row r="815">
      <c r="A815" s="196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</row>
    <row r="816">
      <c r="A816" s="196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</row>
    <row r="817">
      <c r="A817" s="196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</row>
    <row r="818">
      <c r="A818" s="196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</row>
    <row r="819">
      <c r="A819" s="196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</row>
    <row r="820">
      <c r="A820" s="196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</row>
    <row r="821">
      <c r="A821" s="196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</row>
    <row r="822">
      <c r="A822" s="196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</row>
    <row r="823">
      <c r="A823" s="196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</row>
    <row r="824">
      <c r="A824" s="196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</row>
    <row r="825">
      <c r="A825" s="196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</row>
    <row r="826">
      <c r="A826" s="196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</row>
    <row r="827">
      <c r="A827" s="196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</row>
    <row r="828">
      <c r="A828" s="196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</row>
    <row r="829">
      <c r="A829" s="196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</row>
    <row r="830">
      <c r="A830" s="196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</row>
    <row r="831">
      <c r="A831" s="196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</row>
    <row r="832">
      <c r="A832" s="196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</row>
    <row r="833">
      <c r="A833" s="196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</row>
    <row r="834">
      <c r="A834" s="196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</row>
    <row r="835">
      <c r="A835" s="196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</row>
    <row r="836">
      <c r="A836" s="196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</row>
    <row r="837">
      <c r="A837" s="196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</row>
    <row r="838">
      <c r="A838" s="196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</row>
    <row r="839">
      <c r="A839" s="196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</row>
    <row r="840">
      <c r="A840" s="196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</row>
    <row r="841">
      <c r="A841" s="196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</row>
    <row r="842">
      <c r="A842" s="196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</row>
    <row r="843">
      <c r="A843" s="196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</row>
    <row r="844">
      <c r="A844" s="196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</row>
    <row r="845">
      <c r="A845" s="196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</row>
    <row r="846">
      <c r="A846" s="196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</row>
    <row r="847">
      <c r="A847" s="196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</row>
    <row r="848">
      <c r="A848" s="196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</row>
    <row r="849">
      <c r="A849" s="196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</row>
    <row r="850">
      <c r="A850" s="196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</row>
    <row r="851">
      <c r="A851" s="196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</row>
    <row r="852">
      <c r="A852" s="196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</row>
    <row r="853">
      <c r="A853" s="196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</row>
    <row r="854">
      <c r="A854" s="196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</row>
    <row r="855">
      <c r="A855" s="196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</row>
    <row r="856">
      <c r="A856" s="196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</row>
    <row r="857">
      <c r="A857" s="196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</row>
    <row r="858">
      <c r="A858" s="196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</row>
    <row r="859">
      <c r="A859" s="196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</row>
    <row r="860">
      <c r="A860" s="196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</row>
    <row r="861">
      <c r="A861" s="196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</row>
    <row r="862">
      <c r="A862" s="196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</row>
    <row r="863">
      <c r="A863" s="196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</row>
    <row r="864">
      <c r="A864" s="196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</row>
    <row r="865">
      <c r="A865" s="196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</row>
    <row r="866">
      <c r="A866" s="196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</row>
    <row r="867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</row>
    <row r="868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</row>
    <row r="869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</row>
    <row r="870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</row>
    <row r="871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</row>
    <row r="872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</row>
    <row r="873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</row>
    <row r="874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</row>
    <row r="875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</row>
    <row r="876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</row>
    <row r="877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</row>
    <row r="878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</row>
    <row r="879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</row>
    <row r="880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</row>
    <row r="881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</row>
    <row r="882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</row>
    <row r="883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</row>
    <row r="884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</row>
    <row r="885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</row>
    <row r="886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</row>
    <row r="887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</row>
    <row r="888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</row>
    <row r="889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</row>
    <row r="890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</row>
    <row r="891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</row>
    <row r="892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</row>
    <row r="893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</row>
    <row r="894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</row>
    <row r="895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</row>
    <row r="896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</row>
    <row r="897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</row>
    <row r="898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</row>
    <row r="899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</row>
    <row r="900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</row>
    <row r="901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</row>
    <row r="902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</row>
    <row r="903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</row>
    <row r="904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</row>
    <row r="905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</row>
    <row r="906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</row>
    <row r="907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</row>
    <row r="908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</row>
    <row r="909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</row>
    <row r="910">
      <c r="A910" s="196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</row>
    <row r="911">
      <c r="A911" s="196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</row>
    <row r="912">
      <c r="A912" s="196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</row>
    <row r="913">
      <c r="A913" s="196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</row>
    <row r="914">
      <c r="A914" s="196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</row>
    <row r="915">
      <c r="A915" s="196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</row>
    <row r="916">
      <c r="A916" s="196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</row>
    <row r="917">
      <c r="A917" s="196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</row>
    <row r="918">
      <c r="A918" s="196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</row>
    <row r="919">
      <c r="A919" s="196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</row>
    <row r="920">
      <c r="A920" s="196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</row>
    <row r="921">
      <c r="A921" s="196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</row>
    <row r="922">
      <c r="A922" s="196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</row>
    <row r="923">
      <c r="A923" s="196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</row>
    <row r="924">
      <c r="A924" s="196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</row>
    <row r="925">
      <c r="A925" s="196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</row>
    <row r="926">
      <c r="A926" s="196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</row>
    <row r="927">
      <c r="A927" s="196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</row>
    <row r="928">
      <c r="A928" s="196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</row>
    <row r="929">
      <c r="A929" s="196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</row>
    <row r="930">
      <c r="A930" s="196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</row>
    <row r="931">
      <c r="A931" s="196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</row>
    <row r="932">
      <c r="A932" s="196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</row>
    <row r="933">
      <c r="A933" s="196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</row>
    <row r="934">
      <c r="A934" s="196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</row>
    <row r="935">
      <c r="A935" s="196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</row>
    <row r="936">
      <c r="A936" s="196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</row>
    <row r="937">
      <c r="A937" s="196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</row>
    <row r="938">
      <c r="A938" s="196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</row>
    <row r="939">
      <c r="A939" s="196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</row>
    <row r="940">
      <c r="A940" s="196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</row>
    <row r="941">
      <c r="A941" s="196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</row>
    <row r="942">
      <c r="A942" s="196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</row>
    <row r="943">
      <c r="A943" s="196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</row>
    <row r="944">
      <c r="A944" s="196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</row>
    <row r="945">
      <c r="A945" s="196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</row>
    <row r="946">
      <c r="A946" s="196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</row>
    <row r="947">
      <c r="A947" s="196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</row>
    <row r="948">
      <c r="A948" s="196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</row>
    <row r="949">
      <c r="A949" s="196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</row>
    <row r="950">
      <c r="A950" s="196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</row>
    <row r="951">
      <c r="A951" s="196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</row>
    <row r="952">
      <c r="A952" s="196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</row>
    <row r="953">
      <c r="A953" s="196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</row>
    <row r="954">
      <c r="A954" s="196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</row>
    <row r="955">
      <c r="A955" s="196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</row>
    <row r="956">
      <c r="A956" s="196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</row>
    <row r="957">
      <c r="A957" s="196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</row>
    <row r="958">
      <c r="A958" s="196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</row>
    <row r="959">
      <c r="A959" s="196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</row>
    <row r="960">
      <c r="A960" s="196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</row>
    <row r="961">
      <c r="A961" s="196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</row>
    <row r="962">
      <c r="A962" s="196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</row>
    <row r="963">
      <c r="A963" s="196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</row>
    <row r="964">
      <c r="A964" s="196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</row>
    <row r="965">
      <c r="A965" s="196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</row>
    <row r="966">
      <c r="A966" s="196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</row>
    <row r="967">
      <c r="A967" s="196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</row>
    <row r="968">
      <c r="A968" s="196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</row>
    <row r="969">
      <c r="A969" s="196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</row>
    <row r="970">
      <c r="A970" s="196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</row>
    <row r="971">
      <c r="A971" s="196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</row>
    <row r="972">
      <c r="A972" s="196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</row>
    <row r="973">
      <c r="A973" s="196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</row>
    <row r="974">
      <c r="A974" s="196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</row>
    <row r="975">
      <c r="A975" s="196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</row>
    <row r="976">
      <c r="A976" s="196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</row>
    <row r="977">
      <c r="A977" s="196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</row>
    <row r="978">
      <c r="A978" s="196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</row>
    <row r="979">
      <c r="A979" s="196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</row>
    <row r="980">
      <c r="A980" s="196"/>
      <c r="B980" s="196"/>
      <c r="C980" s="196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</row>
    <row r="981">
      <c r="A981" s="196"/>
      <c r="B981" s="196"/>
      <c r="C981" s="196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</row>
    <row r="982">
      <c r="A982" s="196"/>
      <c r="B982" s="196"/>
      <c r="C982" s="196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</row>
    <row r="983">
      <c r="A983" s="196"/>
      <c r="B983" s="196"/>
      <c r="C983" s="196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</row>
    <row r="984">
      <c r="A984" s="196"/>
      <c r="B984" s="196"/>
      <c r="C984" s="196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</row>
    <row r="985">
      <c r="A985" s="196"/>
      <c r="B985" s="196"/>
      <c r="C985" s="196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</row>
    <row r="986">
      <c r="A986" s="196"/>
      <c r="B986" s="196"/>
      <c r="C986" s="196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</row>
    <row r="987">
      <c r="A987" s="196"/>
      <c r="B987" s="196"/>
      <c r="C987" s="196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</row>
    <row r="988">
      <c r="A988" s="196"/>
      <c r="B988" s="196"/>
      <c r="C988" s="196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</row>
    <row r="989">
      <c r="A989" s="196"/>
      <c r="B989" s="196"/>
      <c r="C989" s="196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</row>
    <row r="990">
      <c r="A990" s="196"/>
      <c r="B990" s="196"/>
      <c r="C990" s="196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</row>
    <row r="991">
      <c r="A991" s="196"/>
      <c r="B991" s="196"/>
      <c r="C991" s="196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</row>
    <row r="992">
      <c r="A992" s="196"/>
      <c r="B992" s="196"/>
      <c r="C992" s="196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</row>
    <row r="993">
      <c r="A993" s="196"/>
      <c r="B993" s="196"/>
      <c r="C993" s="196"/>
      <c r="D993" s="196"/>
      <c r="E993" s="196"/>
      <c r="F993" s="196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</row>
    <row r="994">
      <c r="A994" s="196"/>
      <c r="B994" s="196"/>
      <c r="C994" s="196"/>
      <c r="D994" s="196"/>
      <c r="E994" s="196"/>
      <c r="F994" s="196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</row>
    <row r="995">
      <c r="A995" s="196"/>
      <c r="B995" s="196"/>
      <c r="C995" s="196"/>
      <c r="D995" s="196"/>
      <c r="E995" s="196"/>
      <c r="F995" s="196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</row>
    <row r="996">
      <c r="A996" s="196"/>
      <c r="B996" s="196"/>
      <c r="C996" s="196"/>
      <c r="D996" s="196"/>
      <c r="E996" s="196"/>
      <c r="F996" s="196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</row>
    <row r="997">
      <c r="A997" s="196"/>
      <c r="B997" s="196"/>
      <c r="C997" s="196"/>
      <c r="D997" s="196"/>
      <c r="E997" s="196"/>
      <c r="F997" s="196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</row>
  </sheetData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