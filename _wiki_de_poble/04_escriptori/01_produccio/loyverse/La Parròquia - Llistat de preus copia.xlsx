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gudes - La Parròquia" sheetId="1" r:id="rId4"/>
    <sheet state="visible" name="Menjars - La Parròquia" sheetId="2" r:id="rId5"/>
    <sheet state="visible" name="Carro de Compra - La Parròquia" sheetId="3" r:id="rId6"/>
    <sheet state="visible" name="Postres i Gelats - La Parròquia" sheetId="4" r:id="rId7"/>
    <sheet state="visible" name="Diccionari - Parròquia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tc={12a6bb2d-cc24-4060-8326-3c2f4b3a6b7e}</author>
    <author>tc={88ab8a38-abf6-4040-ae6f-d1eab0250fdd}</author>
    <author>tc={b5dfdfb4-1f64-4899-b496-b1cbdab8a98a}</author>
    <author>tc={f62b7710-533a-42b6-8a44-6e60cff6cbe1}</author>
  </authors>
  <commentList>
    <comment authorId="0" xr:uid="{12a6bb2d-cc24-4060-8326-3c2f4b3a6b7e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Unitats per pack. Mínim, 1
</t>
      </text>
    </comment>
    <comment authorId="1" xr:uid="{88ab8a38-abf6-4040-ae6f-d1eab0250fd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Calculadora de Packs.
</t>
      </text>
    </comment>
    <comment authorId="2" xr:uid="{b5dfdfb4-1f64-4899-b496-b1cbdab8a98a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que posar una quantitat, mínim 1.
</t>
      </text>
    </comment>
    <comment authorId="3" xr:uid="{f62b7710-533a-42b6-8a44-6e60cff6cbe1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Preu sense IVA. Per Unitat.
</t>
      </text>
    </comment>
  </commentList>
</comments>
</file>

<file path=xl/sharedStrings.xml><?xml version="1.0" encoding="utf-8"?>
<sst xmlns="http://schemas.openxmlformats.org/spreadsheetml/2006/main" count="2621" uniqueCount="843">
  <si>
    <t>LLISTAT DE POSTRES i GELATS</t>
  </si>
  <si>
    <t>PACKS:</t>
  </si>
  <si>
    <t>Quant.</t>
  </si>
  <si>
    <t>P. COST</t>
  </si>
  <si>
    <t>BASE IMP.</t>
  </si>
  <si>
    <t>U. PACK</t>
  </si>
  <si>
    <t>LLISTAT DE MENJARS</t>
  </si>
  <si>
    <t>P. PACK</t>
  </si>
  <si>
    <t>I.V.A.</t>
  </si>
  <si>
    <t>EQUIV.</t>
  </si>
  <si>
    <t>CALC. BASE IMPOSABLE</t>
  </si>
  <si>
    <t>LLISTAT DE BEGUDES</t>
  </si>
  <si>
    <t>P.V.P.</t>
  </si>
  <si>
    <t>- LA PARRÒQUIA -</t>
  </si>
  <si>
    <t>cl</t>
  </si>
  <si>
    <t>MARGE</t>
  </si>
  <si>
    <t>PREU DE</t>
  </si>
  <si>
    <t>BASE</t>
  </si>
  <si>
    <t>U. per</t>
  </si>
  <si>
    <t>PREU</t>
  </si>
  <si>
    <t>REC.</t>
  </si>
  <si>
    <t>PROVEÏDOR</t>
  </si>
  <si>
    <t>COMENTARIS</t>
  </si>
  <si>
    <t>CAT.</t>
  </si>
  <si>
    <t>TIPUS</t>
  </si>
  <si>
    <t>MARCA O PRODUCTE</t>
  </si>
  <si>
    <t>PRODUCTE</t>
  </si>
  <si>
    <t>%</t>
  </si>
  <si>
    <t>GUANY</t>
  </si>
  <si>
    <t>COST</t>
  </si>
  <si>
    <t>IMPON.</t>
  </si>
  <si>
    <t>MARCA</t>
  </si>
  <si>
    <t>PACK</t>
  </si>
  <si>
    <t>B1☕️</t>
  </si>
  <si>
    <t>M1🥗</t>
  </si>
  <si>
    <t>Cafeteria</t>
  </si>
  <si>
    <t>Plats combinats</t>
  </si>
  <si>
    <t>M5🍎</t>
  </si>
  <si>
    <t>Llimons</t>
  </si>
  <si>
    <t>Amanida</t>
  </si>
  <si>
    <t>Boles de Gelat</t>
  </si>
  <si>
    <t>Bola de Crema de Mantecado</t>
  </si>
  <si>
    <t>Bombó</t>
  </si>
  <si>
    <t>Taronjes</t>
  </si>
  <si>
    <t>Cafè amb llet</t>
  </si>
  <si>
    <t>Amanida amb salat</t>
  </si>
  <si>
    <t>Ous</t>
  </si>
  <si>
    <t>Cafè americà</t>
  </si>
  <si>
    <t>Bombons artesans</t>
  </si>
  <si>
    <t>Bombó Ametlat</t>
  </si>
  <si>
    <t>Amanida amb tomaca i capellà</t>
  </si>
  <si>
    <t>1,37€- 12ena Carrefour</t>
  </si>
  <si>
    <t>Cafè Cappuccino</t>
  </si>
  <si>
    <t>Vi blanc</t>
  </si>
  <si>
    <t>Embotit</t>
  </si>
  <si>
    <t>Bombó d'Oreo</t>
  </si>
  <si>
    <t>Cafè sol</t>
  </si>
  <si>
    <t>Cafè tallat</t>
  </si>
  <si>
    <t>Emperador</t>
  </si>
  <si>
    <t>Bombó de Nata</t>
  </si>
  <si>
    <t>Filetes de ternera</t>
  </si>
  <si>
    <t>Carajillo cremat</t>
  </si>
  <si>
    <t>Entrecot</t>
  </si>
  <si>
    <t>Carajillo d'anís, conyac o ron</t>
  </si>
  <si>
    <t>Ous trencats</t>
  </si>
  <si>
    <t>Carajillo de Bayleys o whisky</t>
  </si>
  <si>
    <t>Filetes de llom</t>
  </si>
  <si>
    <t>Bombó de Xocolate i Nata</t>
  </si>
  <si>
    <t>Cola Cao. Got gran.</t>
  </si>
  <si>
    <t>Bacó</t>
  </si>
  <si>
    <t>Pexuga de pollastre</t>
  </si>
  <si>
    <t>Calamar romana</t>
  </si>
  <si>
    <t>Cola Cao. Got xicotet</t>
  </si>
  <si>
    <t>Cloïses</t>
  </si>
  <si>
    <t>Cloïsa de Mantecado</t>
  </si>
  <si>
    <t>Pollastre adobat</t>
  </si>
  <si>
    <t>Infusió</t>
  </si>
  <si>
    <t>Cansalada</t>
  </si>
  <si>
    <t>Cloïsa de Torró</t>
  </si>
  <si>
    <t>Magre</t>
  </si>
  <si>
    <t>Infusió "tocaeta"</t>
  </si>
  <si>
    <t>Costelles</t>
  </si>
  <si>
    <t>Llet. Got gran</t>
  </si>
  <si>
    <t>Llom adobat</t>
  </si>
  <si>
    <t>Cloïsa de Xocolate</t>
  </si>
  <si>
    <t>Cuixa de pollastre</t>
  </si>
  <si>
    <t>Diprocam</t>
  </si>
  <si>
    <t>Conos</t>
  </si>
  <si>
    <t>Cono de Mantecado</t>
  </si>
  <si>
    <t>Llet. Got xicotet</t>
  </si>
  <si>
    <t>Xulles de corder</t>
  </si>
  <si>
    <t>Llom</t>
  </si>
  <si>
    <t>Cono de Mantecado amb Xocolate</t>
  </si>
  <si>
    <t>Mitjana (Chuletón)</t>
  </si>
  <si>
    <t>hamburgesa de pollastre</t>
  </si>
  <si>
    <t>Cono de Nata amb Xocolate</t>
  </si>
  <si>
    <t>Hamburgesa de ternera</t>
  </si>
  <si>
    <t>Cono de Torró</t>
  </si>
  <si>
    <t>Gelat d'impulso</t>
  </si>
  <si>
    <t>Cono Jicono XocoTrufa</t>
  </si>
  <si>
    <t>Hamburgesa vegetal</t>
  </si>
  <si>
    <t>B2🥤</t>
  </si>
  <si>
    <t>Aigua</t>
  </si>
  <si>
    <t>Agua (Genèric). Litre i mig</t>
  </si>
  <si>
    <t>Cono Maxi Jicono Cruixent</t>
  </si>
  <si>
    <t>Sepia</t>
  </si>
  <si>
    <t>Solomillo (Rellom)</t>
  </si>
  <si>
    <t>Cono Mini Stracciatella</t>
  </si>
  <si>
    <t>Congelados</t>
  </si>
  <si>
    <t>Lechero font vella</t>
  </si>
  <si>
    <t>Coiots</t>
  </si>
  <si>
    <t>Coyote</t>
  </si>
  <si>
    <t>Daberca</t>
  </si>
  <si>
    <t>Creps</t>
  </si>
  <si>
    <t>Ternera</t>
  </si>
  <si>
    <t>Carn picada</t>
  </si>
  <si>
    <t>Aurum</t>
  </si>
  <si>
    <t>Agua (Genèric). 33cl</t>
  </si>
  <si>
    <t>Flan</t>
  </si>
  <si>
    <t>Tonyina</t>
  </si>
  <si>
    <t>Conill</t>
  </si>
  <si>
    <t>Fruita del temps</t>
  </si>
  <si>
    <t>Granissat</t>
  </si>
  <si>
    <t>Granissat d'orxata</t>
  </si>
  <si>
    <t>Truita</t>
  </si>
  <si>
    <t>Pollastre</t>
  </si>
  <si>
    <t>Aurum Mondariz</t>
  </si>
  <si>
    <t>1/4 de pollastre</t>
  </si>
  <si>
    <t xml:space="preserve">Aigua amb gas </t>
  </si>
  <si>
    <t>Sant Narcís</t>
  </si>
  <si>
    <t>Granissat de café</t>
  </si>
  <si>
    <t>Miquels "Lecheros"</t>
  </si>
  <si>
    <t>Callos</t>
  </si>
  <si>
    <t>Vichy</t>
  </si>
  <si>
    <t>Granissat de llimó</t>
  </si>
  <si>
    <t>Xurrasco</t>
  </si>
  <si>
    <t>Jacarilla</t>
  </si>
  <si>
    <t>Refresc</t>
  </si>
  <si>
    <t>Aquarius Llima</t>
  </si>
  <si>
    <t>Iogut</t>
  </si>
  <si>
    <t>M2🥖</t>
  </si>
  <si>
    <t>Entrepans</t>
  </si>
  <si>
    <t>5,23€ kg</t>
  </si>
  <si>
    <t>Cuixot</t>
  </si>
  <si>
    <t>Aquarius Llima (Pot)</t>
  </si>
  <si>
    <t>Jumpi Push Up</t>
  </si>
  <si>
    <t>1/2 Entrepà de Bacó</t>
  </si>
  <si>
    <t>Ca Llesca</t>
  </si>
  <si>
    <t>Aquarius Taronja</t>
  </si>
  <si>
    <t>Cuixot dolç</t>
  </si>
  <si>
    <t>Mini Misiles</t>
  </si>
  <si>
    <t>Montadito de Bacó</t>
  </si>
  <si>
    <t>Macro</t>
  </si>
  <si>
    <t>Aquarius Taronja (Pot)</t>
  </si>
  <si>
    <t>Burret mexicà</t>
  </si>
  <si>
    <t>Pink Mouse</t>
  </si>
  <si>
    <t>Bitter Kas</t>
  </si>
  <si>
    <t>Calamar</t>
  </si>
  <si>
    <t>Polos</t>
  </si>
  <si>
    <t>Polo d'Orxata</t>
  </si>
  <si>
    <t>Caragols</t>
  </si>
  <si>
    <t>Cacaolat</t>
  </si>
  <si>
    <t>Polo de Cafè</t>
  </si>
  <si>
    <t xml:space="preserve">Cansalada </t>
  </si>
  <si>
    <t>Polo de Llimó</t>
  </si>
  <si>
    <t>jacarilla</t>
  </si>
  <si>
    <t>Garreta</t>
  </si>
  <si>
    <t>En el TPV es deixa buit?</t>
  </si>
  <si>
    <t>Coca-Cola 237</t>
  </si>
  <si>
    <t>Polo de Maduixa</t>
  </si>
  <si>
    <t>Blanquet i Botifarra  de carn</t>
  </si>
  <si>
    <t>Polo de Menta</t>
  </si>
  <si>
    <t>Coca-Cola 350</t>
  </si>
  <si>
    <t>Coquetes fregides</t>
  </si>
  <si>
    <t>Llonganissa Blanca</t>
  </si>
  <si>
    <t>Polo de Taronja</t>
  </si>
  <si>
    <t>Coca-Cola Pot</t>
  </si>
  <si>
    <t>Llonganissa Roja</t>
  </si>
  <si>
    <t>1/2 Coca fregida</t>
  </si>
  <si>
    <t>Polo Gran Bombó Cookies</t>
  </si>
  <si>
    <t>Coca-Cola VR</t>
  </si>
  <si>
    <t>Sandwich de Nata</t>
  </si>
  <si>
    <t>Entrepans freds</t>
  </si>
  <si>
    <t>Botifarra</t>
  </si>
  <si>
    <t>Posar al TPV????????</t>
  </si>
  <si>
    <t>Tarrines</t>
  </si>
  <si>
    <t>Tarrina de Mantecado</t>
  </si>
  <si>
    <t>Coca-Cola Zero (Pot)</t>
  </si>
  <si>
    <t>1/2 Entrepà de Cuixot</t>
  </si>
  <si>
    <t>Tarrina de Torró</t>
  </si>
  <si>
    <t>Fanta Llima 237</t>
  </si>
  <si>
    <t>Montadito de Cuixot</t>
  </si>
  <si>
    <t>Tarrina de Xocolate</t>
  </si>
  <si>
    <t>Ibèrics</t>
  </si>
  <si>
    <t>Xoris Ibèric</t>
  </si>
  <si>
    <t>Fanta Llima (Pot)</t>
  </si>
  <si>
    <t>Tarta</t>
  </si>
  <si>
    <t>Tarta (Genèrica)</t>
  </si>
  <si>
    <t>Salxixó Ibèric</t>
  </si>
  <si>
    <t>Fanta Taronja (Pot)</t>
  </si>
  <si>
    <t>Tarta de Figues</t>
  </si>
  <si>
    <t>1/2 Entrepà d'Embotit</t>
  </si>
  <si>
    <t>Llom embutit</t>
  </si>
  <si>
    <t>Tarta de Formatge</t>
  </si>
  <si>
    <t>Comerco 0,36 pot</t>
  </si>
  <si>
    <t>Gasosa</t>
  </si>
  <si>
    <t>Gasosa La Casera Pet</t>
  </si>
  <si>
    <t>Sobrasada</t>
  </si>
  <si>
    <t>Montadito d'Embotit</t>
  </si>
  <si>
    <t>Tarta de tres Xocolates</t>
  </si>
  <si>
    <t>Formatge manxego</t>
  </si>
  <si>
    <t>Fumats</t>
  </si>
  <si>
    <t>Salmó fumat</t>
  </si>
  <si>
    <t>Nestea Llima</t>
  </si>
  <si>
    <t>1/2 Entrepà de Formatge manxego</t>
  </si>
  <si>
    <t>Bacallar fumat</t>
  </si>
  <si>
    <t>Nestea Llima (Pot)</t>
  </si>
  <si>
    <t>Montadito de Formatge manxego</t>
  </si>
  <si>
    <t>Anxoves</t>
  </si>
  <si>
    <t>Red Bull</t>
  </si>
  <si>
    <t>Hamburgesa</t>
  </si>
  <si>
    <t>Boqueró Vinagre</t>
  </si>
  <si>
    <t>SevenUp</t>
  </si>
  <si>
    <t>VALENCIÀ</t>
  </si>
  <si>
    <t>CASTELLÀ</t>
  </si>
  <si>
    <t>Hamburgesa de pollastre</t>
  </si>
  <si>
    <t>capellans secs</t>
  </si>
  <si>
    <t>Albergina</t>
  </si>
  <si>
    <t>Berenjena</t>
  </si>
  <si>
    <t>Aletes i Cuixetes de pollastre</t>
  </si>
  <si>
    <t>Aletas y Muslos de pollo</t>
  </si>
  <si>
    <t>Salats</t>
  </si>
  <si>
    <t>Hueva de tonyina</t>
  </si>
  <si>
    <t>Suc de Pinya</t>
  </si>
  <si>
    <t>All</t>
  </si>
  <si>
    <t>Ajo</t>
  </si>
  <si>
    <t>Ensalada</t>
  </si>
  <si>
    <t>a 39,90 kg</t>
  </si>
  <si>
    <t>Hueva maruca</t>
  </si>
  <si>
    <t>Hamburgesa de vedella</t>
  </si>
  <si>
    <t>Anchoas</t>
  </si>
  <si>
    <t>Bacallà</t>
  </si>
  <si>
    <t>Bacalao</t>
  </si>
  <si>
    <t>a 32,00 kg</t>
  </si>
  <si>
    <t>Moixama</t>
  </si>
  <si>
    <t>Bacon</t>
  </si>
  <si>
    <t>Jacarilla - Juver</t>
  </si>
  <si>
    <t>Burrito mexicano</t>
  </si>
  <si>
    <t>Hueva</t>
  </si>
  <si>
    <t>a 15,90 kg</t>
  </si>
  <si>
    <t>Tocino</t>
  </si>
  <si>
    <t>Bonyitol</t>
  </si>
  <si>
    <t>Suc de Prèssec</t>
  </si>
  <si>
    <t>Caracoles</t>
  </si>
  <si>
    <t>Carxofa</t>
  </si>
  <si>
    <t>Alcachofa</t>
  </si>
  <si>
    <t>a 16,50 kg</t>
  </si>
  <si>
    <t>1/2 Entrepà de Hueva</t>
  </si>
  <si>
    <t>Marraix</t>
  </si>
  <si>
    <t>Ceba caramelitzada</t>
  </si>
  <si>
    <t>Cebolla caramelizada</t>
  </si>
  <si>
    <t>Ceba cruixent</t>
  </si>
  <si>
    <t>Cebolla crujiente</t>
  </si>
  <si>
    <t>a 18,50 kg</t>
  </si>
  <si>
    <t>Bacallar Anglès</t>
  </si>
  <si>
    <t>Cloïsses</t>
  </si>
  <si>
    <t>Almejas</t>
  </si>
  <si>
    <t>Suc de Taronja</t>
  </si>
  <si>
    <t>Montadito de Hueva</t>
  </si>
  <si>
    <t>Clòtxines</t>
  </si>
  <si>
    <t>Mejillones</t>
  </si>
  <si>
    <t>Tortitas fritas</t>
  </si>
  <si>
    <t>Corets de carxofa amb anxova</t>
  </si>
  <si>
    <t>Corazones de alcachofa con anchoa</t>
  </si>
  <si>
    <t>Costillas</t>
  </si>
  <si>
    <t>Peix</t>
  </si>
  <si>
    <t>Sepia Gran</t>
  </si>
  <si>
    <t>Tònica Schweppes</t>
  </si>
  <si>
    <t>Creïlles</t>
  </si>
  <si>
    <t>Patatas</t>
  </si>
  <si>
    <t>Creïlles fregides</t>
  </si>
  <si>
    <t>Patatas fritas</t>
  </si>
  <si>
    <t>Croquetes</t>
  </si>
  <si>
    <t>10,50€ kg</t>
  </si>
  <si>
    <t>Croquetas</t>
  </si>
  <si>
    <t>Sepia Choco</t>
  </si>
  <si>
    <t>1/2 Entrepà de Llom</t>
  </si>
  <si>
    <t>Muslo de pollo</t>
  </si>
  <si>
    <t>Jamón serrano</t>
  </si>
  <si>
    <t>64,30€ - 32,14 caixa +1</t>
  </si>
  <si>
    <t>6,20€ kg</t>
  </si>
  <si>
    <t>Gamba - cues 3 carabelas</t>
  </si>
  <si>
    <t>Embutido</t>
  </si>
  <si>
    <t>Tònica Schweppes (Pot)</t>
  </si>
  <si>
    <t>Esparrecs</t>
  </si>
  <si>
    <t>Montadito de Llom</t>
  </si>
  <si>
    <t>Espárragos</t>
  </si>
  <si>
    <t>Estofat</t>
  </si>
  <si>
    <t>Estofado</t>
  </si>
  <si>
    <t>Faves bollides</t>
  </si>
  <si>
    <t>Habas hervidas</t>
  </si>
  <si>
    <t>Fetxe a la planxa</t>
  </si>
  <si>
    <t>Hígado a la plancha</t>
  </si>
  <si>
    <t>M2🥖 Sepia</t>
  </si>
  <si>
    <t>Formatge fregit</t>
  </si>
  <si>
    <t>Queso frito</t>
  </si>
  <si>
    <t>B3🍺</t>
  </si>
  <si>
    <t>Queso manchego</t>
  </si>
  <si>
    <t>Calamar patagonic</t>
  </si>
  <si>
    <t>Cervesa barril</t>
  </si>
  <si>
    <t>Gambes arrebossades</t>
  </si>
  <si>
    <t>Gambas rebozadas</t>
  </si>
  <si>
    <t>Estrella Damm</t>
  </si>
  <si>
    <t>Gambeta a l'allet</t>
  </si>
  <si>
    <t>Gambas al ajillo</t>
  </si>
  <si>
    <t>1/2 Entrepà de Llom adobat</t>
  </si>
  <si>
    <t>Gula del Nord</t>
  </si>
  <si>
    <t>Gula del Norte</t>
  </si>
  <si>
    <t>Lomo adobado</t>
  </si>
  <si>
    <t>Magre amb tomaca</t>
  </si>
  <si>
    <t>Magro con tomate</t>
  </si>
  <si>
    <t>Mandonguilles</t>
  </si>
  <si>
    <t>Albóndigas</t>
  </si>
  <si>
    <t>Montadito de Llom adobat</t>
  </si>
  <si>
    <t>Mantega</t>
  </si>
  <si>
    <t>Mantequilla</t>
  </si>
  <si>
    <t>Melmelada</t>
  </si>
  <si>
    <t>Mermelada</t>
  </si>
  <si>
    <t>Mesclum de lletuges</t>
  </si>
  <si>
    <t>Mezcla de lechuga</t>
  </si>
  <si>
    <t>Calamar Indio 3/6</t>
  </si>
  <si>
    <t>Magre amb salsa</t>
  </si>
  <si>
    <t>Chuletón</t>
  </si>
  <si>
    <t>Mojama</t>
  </si>
  <si>
    <t>Oli</t>
  </si>
  <si>
    <t>Aceite</t>
  </si>
  <si>
    <t>1/2 Entrepà de Magre amb salsa</t>
  </si>
  <si>
    <t>Penalti</t>
  </si>
  <si>
    <t>Orella de porc</t>
  </si>
  <si>
    <t>Oreja de cerdo</t>
  </si>
  <si>
    <t>Ou, Ous trencats</t>
  </si>
  <si>
    <t>Huevo, Huevos rotos</t>
  </si>
  <si>
    <t>Pebrera (Vitet italià)</t>
  </si>
  <si>
    <t>Pimiento (Pimiento italiano)</t>
  </si>
  <si>
    <t>Pepito de vedella</t>
  </si>
  <si>
    <t>Pepito de ternera</t>
  </si>
  <si>
    <t>Montadito de Magre amb salsa</t>
  </si>
  <si>
    <t>Pechuga de pollo</t>
  </si>
  <si>
    <t>Pinxo</t>
  </si>
  <si>
    <t>Quint</t>
  </si>
  <si>
    <t>Pincho</t>
  </si>
  <si>
    <t>Pit de pollastre adobat</t>
  </si>
  <si>
    <t>Pechuga de pollo adobado</t>
  </si>
  <si>
    <t>Pollo adobado</t>
  </si>
  <si>
    <t>Polpet</t>
  </si>
  <si>
    <t>Pulpito</t>
  </si>
  <si>
    <t>Merlusa</t>
  </si>
  <si>
    <t>Rabo de porc</t>
  </si>
  <si>
    <t>Terç</t>
  </si>
  <si>
    <t>Rabo de cerdo</t>
  </si>
  <si>
    <t>1/2 Entrepà de Moixama</t>
  </si>
  <si>
    <t>Salat, Saladet</t>
  </si>
  <si>
    <t>Salado, Saladito</t>
  </si>
  <si>
    <t>Saltejat de bolets</t>
  </si>
  <si>
    <t>Salteado de setas</t>
  </si>
  <si>
    <t>Saquets de Llonganissa</t>
  </si>
  <si>
    <t>Saquitos de longaniza</t>
  </si>
  <si>
    <t>Tanc</t>
  </si>
  <si>
    <t>Tomaca</t>
  </si>
  <si>
    <t>Montadito de Moixama</t>
  </si>
  <si>
    <t>Tomate</t>
  </si>
  <si>
    <t>Aros de calamar</t>
  </si>
  <si>
    <t>Atún</t>
  </si>
  <si>
    <t>Tortilongui</t>
  </si>
  <si>
    <t>Tortilla con embutidos</t>
  </si>
  <si>
    <t>Frutos del mar</t>
  </si>
  <si>
    <t>Litre</t>
  </si>
  <si>
    <t>Tortilla</t>
  </si>
  <si>
    <t>Xampinyó a la planxa</t>
  </si>
  <si>
    <t>Champiñón a la plancha</t>
  </si>
  <si>
    <t>Surimi</t>
  </si>
  <si>
    <t>Xoriset picant</t>
  </si>
  <si>
    <t>Chorizo picante</t>
  </si>
  <si>
    <t>Chuletas de cordero</t>
  </si>
  <si>
    <t>Gerra</t>
  </si>
  <si>
    <t>1 kg</t>
  </si>
  <si>
    <t>Churrasco</t>
  </si>
  <si>
    <t>1/2 Pepito de vedella</t>
  </si>
  <si>
    <t>Cloisa Marinera</t>
  </si>
  <si>
    <t>0,5 kg</t>
  </si>
  <si>
    <t>Cloxines</t>
  </si>
  <si>
    <t>Turia Märzen</t>
  </si>
  <si>
    <t>Montadito de Pepito de vedella</t>
  </si>
  <si>
    <t xml:space="preserve">Polp </t>
  </si>
  <si>
    <t>Tonyina oli 1kg</t>
  </si>
  <si>
    <t>1/2 Entrepà de Pexuga de pollastre</t>
  </si>
  <si>
    <t>Muslos de Mar</t>
  </si>
  <si>
    <t>Montadito de Pexuga de pollastre</t>
  </si>
  <si>
    <t>Superemes de Bacallar</t>
  </si>
  <si>
    <t>Daberca 54€</t>
  </si>
  <si>
    <t>Supremes de Bacallar</t>
  </si>
  <si>
    <t>1/2 Entrepà de Pit de pollastre adobat</t>
  </si>
  <si>
    <t xml:space="preserve"> </t>
  </si>
  <si>
    <t>Croquetes de Cuixot</t>
  </si>
  <si>
    <t>Montadito de Pit de pollastre adobat</t>
  </si>
  <si>
    <t>Croquetes de Bacallà</t>
  </si>
  <si>
    <t>Rellom (Solomillo)</t>
  </si>
  <si>
    <t>Croquetes de Boletus</t>
  </si>
  <si>
    <t>Volldamm</t>
  </si>
  <si>
    <t>Saltejat de Bolets</t>
  </si>
  <si>
    <t>1/2 Entrepà de Rellom</t>
  </si>
  <si>
    <t>Bocahe</t>
  </si>
  <si>
    <t>Formatge Tempura</t>
  </si>
  <si>
    <t>Montadito de Rellom</t>
  </si>
  <si>
    <t>0,5kg</t>
  </si>
  <si>
    <t>Saladet</t>
  </si>
  <si>
    <t>1/2 Entrepà de saladet</t>
  </si>
  <si>
    <t>Formatges</t>
  </si>
  <si>
    <t>Formatge Fresc</t>
  </si>
  <si>
    <t>Montadito de saladet</t>
  </si>
  <si>
    <t>Formatge Curat</t>
  </si>
  <si>
    <t>Salmó</t>
  </si>
  <si>
    <t>Carlos</t>
  </si>
  <si>
    <t>Formatge Semicurat</t>
  </si>
  <si>
    <t>1/2 Entrepà de salmó</t>
  </si>
  <si>
    <t>Havarti</t>
  </si>
  <si>
    <t>Montadito de salmó</t>
  </si>
  <si>
    <t>Cervesa</t>
  </si>
  <si>
    <t>Alhambra</t>
  </si>
  <si>
    <t>Mascarpone</t>
  </si>
  <si>
    <t>Sandwich mixte</t>
  </si>
  <si>
    <t>Sandwich vegetal</t>
  </si>
  <si>
    <t>Verd</t>
  </si>
  <si>
    <t>Lletuga</t>
  </si>
  <si>
    <t>Juliverd</t>
  </si>
  <si>
    <t>Carlota</t>
  </si>
  <si>
    <t>Amstel 1/3</t>
  </si>
  <si>
    <t>Alberginies</t>
  </si>
  <si>
    <t>1/2 Entrepà de Tonyina</t>
  </si>
  <si>
    <t>Amstel Radler Llima</t>
  </si>
  <si>
    <t>Carabasseta</t>
  </si>
  <si>
    <t>Montadito de Tonyina</t>
  </si>
  <si>
    <t>Coronita</t>
  </si>
  <si>
    <t>Sebes Tendres</t>
  </si>
  <si>
    <t>Tonyina amb anxoves</t>
  </si>
  <si>
    <t>Cervesa de pot (Genèric)</t>
  </si>
  <si>
    <t>1/2 Entrepà de Tonyina amb anxoves</t>
  </si>
  <si>
    <t>Alls Tendres</t>
  </si>
  <si>
    <t>Comerco</t>
  </si>
  <si>
    <t>Damm Lemon</t>
  </si>
  <si>
    <t>Montadito de Tonyina amb anxoves</t>
  </si>
  <si>
    <t>Daura Damm. Sense gluten</t>
  </si>
  <si>
    <t>Bajoca Roja</t>
  </si>
  <si>
    <t>1/2 Tortilongui</t>
  </si>
  <si>
    <t>Estrella Damm 1/5</t>
  </si>
  <si>
    <t>Bajoca Verda</t>
  </si>
  <si>
    <t>Truita amb cuixot</t>
  </si>
  <si>
    <t>Vitets Italians</t>
  </si>
  <si>
    <t>Estrella Damm 1/3</t>
  </si>
  <si>
    <t>1/2 Entrepà de Truita amb cuixot</t>
  </si>
  <si>
    <t>Pepinell</t>
  </si>
  <si>
    <t>Amstel. 1 Litre</t>
  </si>
  <si>
    <t>Truita amb formatge</t>
  </si>
  <si>
    <t>Suposició de Javi</t>
  </si>
  <si>
    <t>Carabassa</t>
  </si>
  <si>
    <t>Estrella Galicia 1/3</t>
  </si>
  <si>
    <t>1/2 Entrepà de Truita amb formatge</t>
  </si>
  <si>
    <t>All Puerro</t>
  </si>
  <si>
    <t>llesca</t>
  </si>
  <si>
    <t>Truita francesa</t>
  </si>
  <si>
    <t>Apit</t>
  </si>
  <si>
    <t>Estrella Galicia 1/5</t>
  </si>
  <si>
    <t>1/2 Entrepà de Truita francesa</t>
  </si>
  <si>
    <t>Cervesa 0,0</t>
  </si>
  <si>
    <t>Xirivia</t>
  </si>
  <si>
    <t>Free Damm 0,0</t>
  </si>
  <si>
    <t>Vegetal (entrepà)</t>
  </si>
  <si>
    <t>Heineken 0,0</t>
  </si>
  <si>
    <t>Carxofes</t>
  </si>
  <si>
    <t>1/2 Entrepà Vegetal</t>
  </si>
  <si>
    <t>Heineken Long Neck</t>
  </si>
  <si>
    <t>M3🍞</t>
  </si>
  <si>
    <t>Floricol</t>
  </si>
  <si>
    <t>Montadito d'Entrepà Vegetal</t>
  </si>
  <si>
    <t>Mahou 1/5</t>
  </si>
  <si>
    <t>Mahou 1/3</t>
  </si>
  <si>
    <t xml:space="preserve">Esparrecs verds </t>
  </si>
  <si>
    <t xml:space="preserve"> Complements. Ració</t>
  </si>
  <si>
    <t>84€ - 28€ caixa + 1</t>
  </si>
  <si>
    <t>Mahou 0,0 1/5</t>
  </si>
  <si>
    <t>Allioli</t>
  </si>
  <si>
    <t>Creïlles Agres</t>
  </si>
  <si>
    <t>Mahou 0,0 1/3</t>
  </si>
  <si>
    <t>Creïlles Bollir</t>
  </si>
  <si>
    <t>Sidra</t>
  </si>
  <si>
    <t>Sidra Ladrón de Manzanas</t>
  </si>
  <si>
    <t>Bajoca</t>
  </si>
  <si>
    <t xml:space="preserve">Sebes </t>
  </si>
  <si>
    <t>Alls</t>
  </si>
  <si>
    <t>Ceba a la planxa</t>
  </si>
  <si>
    <t>Turia</t>
  </si>
  <si>
    <t>M4🍢</t>
  </si>
  <si>
    <t>Faves Lozano 1k</t>
  </si>
  <si>
    <t>Voll-Damm</t>
  </si>
  <si>
    <t>Alls Congelats</t>
  </si>
  <si>
    <t>Formatge</t>
  </si>
  <si>
    <t>6,96€ kg</t>
  </si>
  <si>
    <t>Faves Baby Congelades</t>
  </si>
  <si>
    <t>B4🍷</t>
  </si>
  <si>
    <t>Vi negre</t>
  </si>
  <si>
    <t>Arrocero (Blanc)</t>
  </si>
  <si>
    <t xml:space="preserve">4,61€ kg </t>
  </si>
  <si>
    <t>Pesols</t>
  </si>
  <si>
    <t>Maionesa</t>
  </si>
  <si>
    <t>Panis</t>
  </si>
  <si>
    <t>Copa</t>
  </si>
  <si>
    <t>Esparrecs Blancs</t>
  </si>
  <si>
    <t>Cors de Carxofa</t>
  </si>
  <si>
    <t>Ou</t>
  </si>
  <si>
    <t>Castillo de Urtau (Ribera del D.)</t>
  </si>
  <si>
    <t>Seba Caramelitzada</t>
  </si>
  <si>
    <t>Quètxup</t>
  </si>
  <si>
    <t>Seba Cruixent</t>
  </si>
  <si>
    <t>Salsa verda</t>
  </si>
  <si>
    <t>Galeam ( Muscat Blanc)</t>
  </si>
  <si>
    <t>Germen</t>
  </si>
  <si>
    <t>Avecrem Poll</t>
  </si>
  <si>
    <t>Avecrem Bou</t>
  </si>
  <si>
    <t>Vitet italià</t>
  </si>
  <si>
    <t>Vi</t>
  </si>
  <si>
    <t>Galeam (Monastrell Ecològic)</t>
  </si>
  <si>
    <t>Fondo de Peix</t>
  </si>
  <si>
    <t>Torrades</t>
  </si>
  <si>
    <t>Mahonesa Gran</t>
  </si>
  <si>
    <t>Mahonesa sobres</t>
  </si>
  <si>
    <t>Cuixot i formatge</t>
  </si>
  <si>
    <t>Mahonesa Pot</t>
  </si>
  <si>
    <t>Mas Viló (Priorat)</t>
  </si>
  <si>
    <t>Martega</t>
  </si>
  <si>
    <t>Maset (Rioja Tempranillo)</t>
  </si>
  <si>
    <t>Mantega i melmelada</t>
  </si>
  <si>
    <t>1kg</t>
  </si>
  <si>
    <t>2kg</t>
  </si>
  <si>
    <t>Salsa Brava</t>
  </si>
  <si>
    <t>Ketxup</t>
  </si>
  <si>
    <t>Salat</t>
  </si>
  <si>
    <t>Maset (Verdejo Blanc)</t>
  </si>
  <si>
    <t>Tomaca de Pot</t>
  </si>
  <si>
    <t>Encurtits</t>
  </si>
  <si>
    <t>Tapes</t>
  </si>
  <si>
    <t>Agritos</t>
  </si>
  <si>
    <t>Muscat</t>
  </si>
  <si>
    <t>Mermela de Tomaca</t>
  </si>
  <si>
    <t>Aigua-sal</t>
  </si>
  <si>
    <t>Mermela d'arandanos</t>
  </si>
  <si>
    <t>Sericis (Monastrell Ecològic)</t>
  </si>
  <si>
    <t>Ensaladilla amb carxofa</t>
  </si>
  <si>
    <t>Borsa de papes</t>
  </si>
  <si>
    <t>Ja no la fem</t>
  </si>
  <si>
    <t>Ensaladilla amb formatge</t>
  </si>
  <si>
    <t>Cacauets salats</t>
  </si>
  <si>
    <t>Cacauets sencers</t>
  </si>
  <si>
    <t>Mermela de fresa</t>
  </si>
  <si>
    <t>Calamar a la romana</t>
  </si>
  <si>
    <t>Nata</t>
  </si>
  <si>
    <t>Vi negre d'estiu</t>
  </si>
  <si>
    <t>Tinto Verano La Casera 275 ml</t>
  </si>
  <si>
    <t>Xocolate</t>
  </si>
  <si>
    <t>Calamar arrebossat</t>
  </si>
  <si>
    <t>Vi amb Gasosa (Genèric)</t>
  </si>
  <si>
    <t>Cacao</t>
  </si>
  <si>
    <t>Mel</t>
  </si>
  <si>
    <t>Vi negre d'estiu (Sangria). (Gerra)</t>
  </si>
  <si>
    <t>Canapés</t>
  </si>
  <si>
    <t>Caramelo liquit</t>
  </si>
  <si>
    <t>Llet condesada 50g</t>
  </si>
  <si>
    <t>Llet condesada</t>
  </si>
  <si>
    <t>Viña Martina (Blanc)</t>
  </si>
  <si>
    <t>Clòtxines a la vinagreta</t>
  </si>
  <si>
    <t>Cola Cao</t>
  </si>
  <si>
    <t>Sucre Blacn Rioba</t>
  </si>
  <si>
    <t>Clòtxines Tigre</t>
  </si>
  <si>
    <t>Sucre Negre</t>
  </si>
  <si>
    <t>Sacarina</t>
  </si>
  <si>
    <t>Viña Martina (Negre)</t>
  </si>
  <si>
    <t>Llegums</t>
  </si>
  <si>
    <t>Fresols</t>
  </si>
  <si>
    <t>Creïlles amb alls</t>
  </si>
  <si>
    <t>Sigrons</t>
  </si>
  <si>
    <t>Creïlles braves</t>
  </si>
  <si>
    <t>Vi rosat</t>
  </si>
  <si>
    <t>Viña Martina (Rosat)</t>
  </si>
  <si>
    <t>Arroç</t>
  </si>
  <si>
    <t>Macarrons</t>
  </si>
  <si>
    <t>Fideuà</t>
  </si>
  <si>
    <t>Croquetes caseres</t>
  </si>
  <si>
    <t xml:space="preserve">     </t>
  </si>
  <si>
    <t>Fideus</t>
  </si>
  <si>
    <t>B5🥃</t>
  </si>
  <si>
    <t>Aiguardent</t>
  </si>
  <si>
    <t>Aiguardent Afilador</t>
  </si>
  <si>
    <t>Espaguetis</t>
  </si>
  <si>
    <t>Conseves</t>
  </si>
  <si>
    <t>Berberechos</t>
  </si>
  <si>
    <t>Estimació</t>
  </si>
  <si>
    <t>Cuixetes de mar</t>
  </si>
  <si>
    <t>Mejillons 20 sol-30</t>
  </si>
  <si>
    <t>Cuixot amb Formatge</t>
  </si>
  <si>
    <t>Glopet</t>
  </si>
  <si>
    <t>Mejillons</t>
  </si>
  <si>
    <t>Ensaladilla</t>
  </si>
  <si>
    <t>Ensaladilla de marisc</t>
  </si>
  <si>
    <t>Navaixes</t>
  </si>
  <si>
    <t>Mastrull</t>
  </si>
  <si>
    <t>Cacaus Picants</t>
  </si>
  <si>
    <t>Got</t>
  </si>
  <si>
    <t>Cacaus Mescla</t>
  </si>
  <si>
    <t>Esparrecs amb bacó</t>
  </si>
  <si>
    <t>Cacaus</t>
  </si>
  <si>
    <t xml:space="preserve">Aiguardent </t>
  </si>
  <si>
    <t>Estofat de ternera</t>
  </si>
  <si>
    <t>Faves amb cuixot</t>
  </si>
  <si>
    <t xml:space="preserve">Picos </t>
  </si>
  <si>
    <t>Papes Rubio</t>
  </si>
  <si>
    <t>Llesca</t>
  </si>
  <si>
    <t>Anís sec</t>
  </si>
  <si>
    <t>Anís (Genèric)</t>
  </si>
  <si>
    <t>Papes Matutano</t>
  </si>
  <si>
    <t>Matualcoi</t>
  </si>
  <si>
    <t>Cornes</t>
  </si>
  <si>
    <t>Oli Oliva 5l</t>
  </si>
  <si>
    <t>Oli Oliva 200</t>
  </si>
  <si>
    <t>Anís Cerveró (Sec)</t>
  </si>
  <si>
    <t>https://www.todogin.com/licores/649-anis-seco-cazalla-cervero-1l.html</t>
  </si>
  <si>
    <t>Oli girasol</t>
  </si>
  <si>
    <t>Olives farcides</t>
  </si>
  <si>
    <t xml:space="preserve">Oli Alto Oleico </t>
  </si>
  <si>
    <t>Olives partides</t>
  </si>
  <si>
    <t xml:space="preserve">Jacarilla </t>
  </si>
  <si>
    <t>10 l</t>
  </si>
  <si>
    <t>Aigüasal</t>
  </si>
  <si>
    <t>Olives Rellenes</t>
  </si>
  <si>
    <t>Pasamar amb salsa</t>
  </si>
  <si>
    <t>2 kg</t>
  </si>
  <si>
    <t>Olives Partides</t>
  </si>
  <si>
    <t>Olives Mescla</t>
  </si>
  <si>
    <t>Pintxo de pit de pollastre</t>
  </si>
  <si>
    <t>Anís dolç</t>
  </si>
  <si>
    <t>Anís del Mono (Dolç)</t>
  </si>
  <si>
    <t>Olives Negres</t>
  </si>
  <si>
    <t>Pintxo de pollastre amb kebab</t>
  </si>
  <si>
    <t>Amazon</t>
  </si>
  <si>
    <t>Pintxo de truita</t>
  </si>
  <si>
    <t>Tramusos</t>
  </si>
  <si>
    <t>Pintxo morú</t>
  </si>
  <si>
    <t>Sebes Aiguasal</t>
  </si>
  <si>
    <t>Piruletes de gamba</t>
  </si>
  <si>
    <t>Vitets Aiguasal</t>
  </si>
  <si>
    <t>Alcaparres</t>
  </si>
  <si>
    <t>Panses</t>
  </si>
  <si>
    <t>Anís Tenis (Sec)</t>
  </si>
  <si>
    <t>http://palomatenis.es/shop/index.php?route=product/product&amp;product_id=42</t>
  </si>
  <si>
    <t>Sardines a la planxa</t>
  </si>
  <si>
    <t>Pa</t>
  </si>
  <si>
    <t>Bocata Special</t>
  </si>
  <si>
    <t>Sepia a la planxa</t>
  </si>
  <si>
    <t>Bocata Rustico</t>
  </si>
  <si>
    <t>Sepia amb salsa</t>
  </si>
  <si>
    <t>Bocata Baguette</t>
  </si>
  <si>
    <t>Solomillo a l'allet</t>
  </si>
  <si>
    <t>Montaditos</t>
  </si>
  <si>
    <t>Ternera amb salsa</t>
  </si>
  <si>
    <t>Licor de crema</t>
  </si>
  <si>
    <t>Pa de burguer</t>
  </si>
  <si>
    <t>Tres Anforas o Cruceiro - Granel</t>
  </si>
  <si>
    <t>Verdura a la planxa</t>
  </si>
  <si>
    <t>Pa de Sandwich</t>
  </si>
  <si>
    <t>Canapes</t>
  </si>
  <si>
    <t>Farina</t>
  </si>
  <si>
    <t>Llevat</t>
  </si>
  <si>
    <t>Caroles Torró</t>
  </si>
  <si>
    <t>Caroles</t>
  </si>
  <si>
    <t>Baileys</t>
  </si>
  <si>
    <t>Coulan</t>
  </si>
  <si>
    <t>11,90 Macro</t>
  </si>
  <si>
    <t>20 units</t>
  </si>
  <si>
    <t>Profiterols</t>
  </si>
  <si>
    <t>10 units</t>
  </si>
  <si>
    <t>Flan de formatge</t>
  </si>
  <si>
    <t>Pomes</t>
  </si>
  <si>
    <t>Platans</t>
  </si>
  <si>
    <t>meló</t>
  </si>
  <si>
    <t>mangrana</t>
  </si>
  <si>
    <t>Pinya</t>
  </si>
  <si>
    <t>Freses</t>
  </si>
  <si>
    <t>Detergents</t>
  </si>
  <si>
    <t>Fairy</t>
  </si>
  <si>
    <t>Lleixiu</t>
  </si>
  <si>
    <t>Licor d'herbes</t>
  </si>
  <si>
    <t>Rauvieja</t>
  </si>
  <si>
    <t>Salfumant</t>
  </si>
  <si>
    <t>Amoniaco</t>
  </si>
  <si>
    <t>Brujas</t>
  </si>
  <si>
    <t>Sanitol</t>
  </si>
  <si>
    <t>Estrella</t>
  </si>
  <si>
    <t>Ambientador</t>
  </si>
  <si>
    <t>Desentgrasant</t>
  </si>
  <si>
    <t>Alcoilimp</t>
  </si>
  <si>
    <t>Abrillantador piso</t>
  </si>
  <si>
    <t>Abrillantador Rentavaixelles</t>
  </si>
  <si>
    <t>Alcoillimp</t>
  </si>
  <si>
    <t>Sabó Rentavaixelles</t>
  </si>
  <si>
    <t>Sabó dels mans</t>
  </si>
  <si>
    <t>Borses Brossa 100l blaves</t>
  </si>
  <si>
    <t>Borses Brossa 100l negres</t>
  </si>
  <si>
    <t xml:space="preserve">Borses Brossa </t>
  </si>
  <si>
    <t>Brandy</t>
  </si>
  <si>
    <t>Cardenal Mendoza</t>
  </si>
  <si>
    <t>Mantels de Taula</t>
  </si>
  <si>
    <t xml:space="preserve">Servilletes </t>
  </si>
  <si>
    <t>Servilleters sobre taula</t>
  </si>
  <si>
    <t>Carlos III</t>
  </si>
  <si>
    <t>Miniservis 12x12</t>
  </si>
  <si>
    <t>Rotllo de metxa</t>
  </si>
  <si>
    <t>Paper Zig Zag torcamans</t>
  </si>
  <si>
    <t>Rotllos aseo</t>
  </si>
  <si>
    <t>Magno</t>
  </si>
  <si>
    <t>Butà</t>
  </si>
  <si>
    <t>Tapers Burguer</t>
  </si>
  <si>
    <t>Tapers Petits</t>
  </si>
  <si>
    <t>Tapers Grans</t>
  </si>
  <si>
    <t>Soberano</t>
  </si>
  <si>
    <t>Paper Albal</t>
  </si>
  <si>
    <t>Film</t>
  </si>
  <si>
    <t>Llibretes Cambrer</t>
  </si>
  <si>
    <t>Bolis</t>
  </si>
  <si>
    <t>Terry Centenari</t>
  </si>
  <si>
    <t>Folios</t>
  </si>
  <si>
    <t>Baietes</t>
  </si>
  <si>
    <t>Baietes Planxa</t>
  </si>
  <si>
    <t>Pinxos Morunos</t>
  </si>
  <si>
    <t>Torres 10</t>
  </si>
  <si>
    <t>Pinxos Piruleta</t>
  </si>
  <si>
    <t>CAFÉ e</t>
  </si>
  <si>
    <t>Novell</t>
  </si>
  <si>
    <t>CAFÉ Q</t>
  </si>
  <si>
    <t>Café-licor</t>
  </si>
  <si>
    <t>Cerol</t>
  </si>
  <si>
    <t>DESCAFEINAT</t>
  </si>
  <si>
    <t>DESCAFEINAT SOBRE</t>
  </si>
  <si>
    <t>SUCRE BLANC NOVELL</t>
  </si>
  <si>
    <t>SUCRE NEGRE NOVELL</t>
  </si>
  <si>
    <t>Pastor</t>
  </si>
  <si>
    <t>SACARINA NOVELL</t>
  </si>
  <si>
    <t>1. ROIBOS XOCO</t>
  </si>
  <si>
    <t>2.ROIBOS CREMA</t>
  </si>
  <si>
    <t>3.TE BLANC FRESA</t>
  </si>
  <si>
    <t>comerco</t>
  </si>
  <si>
    <t>Licor</t>
  </si>
  <si>
    <t>Biri - Biri</t>
  </si>
  <si>
    <t>4.TE NEGRE ESPECIAT</t>
  </si>
  <si>
    <t>5.TE VERD GENGIBRE</t>
  </si>
  <si>
    <t>6.INFU RELAX</t>
  </si>
  <si>
    <t>7.PU ERH CHAI TE</t>
  </si>
  <si>
    <t>8.PU ERH CANELA</t>
  </si>
  <si>
    <t>Cantueso San Pascual</t>
  </si>
  <si>
    <t>9.MANZANILLA 100</t>
  </si>
  <si>
    <t>Lechero - 5,51</t>
  </si>
  <si>
    <t>9.MANZANILLA</t>
  </si>
  <si>
    <t>10.INFU DIGEST</t>
  </si>
  <si>
    <t>11.MENTA POLEO 100</t>
  </si>
  <si>
    <t>Cantueso</t>
  </si>
  <si>
    <t>11.MENTA POLEO</t>
  </si>
  <si>
    <t>12.FRUTOS BOSQUE</t>
  </si>
  <si>
    <t>13.KUKICHA TE VERD</t>
  </si>
  <si>
    <t>14.DAJELING TE NEGRE</t>
  </si>
  <si>
    <t>15.PAIMU TE BLANC</t>
  </si>
  <si>
    <t>SALVIA</t>
  </si>
  <si>
    <t>Cointreau</t>
  </si>
  <si>
    <t>TILA</t>
  </si>
  <si>
    <t>TIMÓ</t>
  </si>
  <si>
    <t>CANTUESO</t>
  </si>
  <si>
    <t>TE ROIG</t>
  </si>
  <si>
    <t>Quemaito</t>
  </si>
  <si>
    <t>Ginebra</t>
  </si>
  <si>
    <t>Beefeter</t>
  </si>
  <si>
    <t>LicoCash</t>
  </si>
  <si>
    <t>Bombay</t>
  </si>
  <si>
    <t>Bombay Sapphire</t>
  </si>
  <si>
    <t>Hendricks</t>
  </si>
  <si>
    <t>Larios</t>
  </si>
  <si>
    <t>Puerto de Indias</t>
  </si>
  <si>
    <t>Seagrams</t>
  </si>
  <si>
    <t>Tankerai</t>
  </si>
  <si>
    <t>Herbero Dolç (Genèric)</t>
  </si>
  <si>
    <t>Herbero Serpis</t>
  </si>
  <si>
    <t>Jagermeister</t>
  </si>
  <si>
    <t>Licor 43</t>
  </si>
  <si>
    <t>Licor d'Herbes</t>
  </si>
  <si>
    <t>Geruch Berg</t>
  </si>
  <si>
    <t>Licor de Crema</t>
  </si>
  <si>
    <t>Licor de Poma</t>
  </si>
  <si>
    <t>Licor de Prèssec</t>
  </si>
  <si>
    <t>Malibú</t>
  </si>
  <si>
    <t xml:space="preserve">   </t>
  </si>
  <si>
    <t>Mistela (Genèric)</t>
  </si>
  <si>
    <t>Mistela Primitivo Quiles</t>
  </si>
  <si>
    <t>Urujo (Genèric)</t>
  </si>
  <si>
    <t>Patxaran Las Endrinas 1L</t>
  </si>
  <si>
    <t>Ponx Caballero</t>
  </si>
  <si>
    <t>Ron</t>
  </si>
  <si>
    <t>Bacardí Carta Blanca</t>
  </si>
  <si>
    <t>Barceló (Envellit)</t>
  </si>
  <si>
    <t>macro 15,20</t>
  </si>
  <si>
    <t>Brugal (Envellit)</t>
  </si>
  <si>
    <t>Macro 12,72</t>
  </si>
  <si>
    <t>Negrita Bardinet (Envellit)</t>
  </si>
  <si>
    <t>Tequila</t>
  </si>
  <si>
    <t>Tequila (Genèric)</t>
  </si>
  <si>
    <t>Vermut</t>
  </si>
  <si>
    <t>Cinzano Blanc</t>
  </si>
  <si>
    <t>Cinzano Roig</t>
  </si>
  <si>
    <t xml:space="preserve">Vermut granel </t>
  </si>
  <si>
    <t>Vermut Primitivo Quiles</t>
  </si>
  <si>
    <t>Lechero</t>
  </si>
  <si>
    <t>Martini Blanc</t>
  </si>
  <si>
    <t>Martini Roig</t>
  </si>
  <si>
    <t>5,95 Macro</t>
  </si>
  <si>
    <t>Vodka</t>
  </si>
  <si>
    <t>Absolut</t>
  </si>
  <si>
    <t>Smirnoff</t>
  </si>
  <si>
    <t>Whisky</t>
  </si>
  <si>
    <t>Ballantines</t>
  </si>
  <si>
    <t>Cardhu 12 anys</t>
  </si>
  <si>
    <t>Whisky Bourbon</t>
  </si>
  <si>
    <t>Four Roses</t>
  </si>
  <si>
    <t>Glenfiddich 12 anys</t>
  </si>
  <si>
    <t>Jack Daniels</t>
  </si>
  <si>
    <t>Jameson</t>
  </si>
  <si>
    <t>Macro 12,70€</t>
  </si>
  <si>
    <t>JB</t>
  </si>
  <si>
    <t>Jim Beam</t>
  </si>
  <si>
    <t>White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</si>
</sst>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0\ [$€-1]"/>
    <numFmt numFmtId="166" formatCode="#,##0.00000\ [$€-1]"/>
    <numFmt numFmtId="167" formatCode="#,##0.00&quot;€&quot;"/>
    <numFmt numFmtId="168" formatCode="#,##0&quot;€&quot;"/>
  </numFmts>
  <fonts count="17">
    <font>
      <sz val="10.0"/>
      <color rgb="FF000000"/>
      <name val="Arial"/>
    </font>
    <font>
      <b/>
      <name val="Roboto Condensed"/>
    </font>
    <font>
      <b/>
      <color rgb="FFFFFFFF"/>
      <name val="Roboto Condensed"/>
    </font>
    <font>
      <color rgb="FFFFFFFF"/>
      <name val="Roboto Condensed"/>
    </font>
    <font>
      <color rgb="FF0000FF"/>
      <name val="Roboto Condensed"/>
    </font>
    <font>
      <b/>
      <color rgb="FF000000"/>
      <name val="Roboto Condensed"/>
    </font>
    <font>
      <b/>
      <color rgb="FF0000FF"/>
      <name val="Roboto Condensed"/>
    </font>
    <font/>
    <font>
      <name val="Roboto Condensed"/>
    </font>
    <font>
      <name val="Arial"/>
    </font>
    <font>
      <b/>
      <sz val="14.0"/>
      <color rgb="FFFFFFFF"/>
      <name val="Barlow Condensed"/>
    </font>
    <font>
      <sz val="14.0"/>
      <name val="Barlow Condensed"/>
    </font>
    <font>
      <color rgb="FF000000"/>
      <name val="&quot;docs-Roboto Condensed&quot;"/>
    </font>
    <font>
      <b/>
      <u/>
      <color rgb="FF85200C"/>
      <name val="Roboto Condensed"/>
    </font>
    <font>
      <u/>
      <color rgb="FF0000FF"/>
      <name val="Roboto Condensed"/>
    </font>
    <font>
      <b/>
      <sz val="10.0"/>
      <color rgb="FF000000"/>
      <name val="Roboto Condensed"/>
    </font>
    <font>
      <color rgb="FF000000"/>
      <name val="Roboto Condensed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</fills>
  <borders count="125">
    <border/>
    <border>
      <left style="thick">
        <color rgb="FF000000"/>
      </left>
      <right style="thick">
        <color rgb="FF000000"/>
      </right>
    </border>
    <border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dotted">
        <color rgb="FF000000"/>
      </left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medium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dotted">
        <color rgb="FFFFFFFF"/>
      </bottom>
    </border>
    <border>
      <right style="thin">
        <color rgb="FFFFFFFF"/>
      </right>
      <bottom style="dotted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dotted">
        <color rgb="FFFFFFFF"/>
      </bottom>
    </border>
    <border>
      <right style="dotted">
        <color rgb="FFFFFFFF"/>
      </right>
    </border>
    <border>
      <left style="thin">
        <color rgb="FFFFFFFF"/>
      </left>
      <right style="thin">
        <color rgb="FFFFFFFF"/>
      </right>
    </border>
    <border>
      <left style="dotted">
        <color rgb="FFFFFFFF"/>
      </left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FFFFFF"/>
      </left>
      <right style="dotted">
        <color rgb="FFFFFFFF"/>
      </right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bottom style="thin">
        <color rgb="FF999999"/>
      </bottom>
    </border>
    <border>
      <left style="thin">
        <color rgb="FF999999"/>
      </left>
      <bottom style="thick">
        <color rgb="FF000000"/>
      </bottom>
    </border>
    <border>
      <left style="thick">
        <color rgb="FF000000"/>
      </left>
      <top style="thin">
        <color rgb="FF999999"/>
      </top>
      <bottom style="thin">
        <color rgb="FF999999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999999"/>
      </bottom>
    </border>
    <border>
      <left style="thick">
        <color rgb="FF000000"/>
      </lef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999999"/>
      </bottom>
    </border>
    <border>
      <left style="dotted">
        <color rgb="FF000000"/>
      </left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right style="thick">
        <color rgb="FF000000"/>
      </right>
      <bottom style="thin">
        <color rgb="FF999999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n">
        <color rgb="FF999999"/>
      </bottom>
    </border>
    <border>
      <bottom style="thick">
        <color rgb="FF000000"/>
      </bottom>
    </border>
    <border>
      <left style="dotted">
        <color rgb="FF000000"/>
      </left>
      <right style="thick">
        <color rgb="FF000000"/>
      </right>
      <bottom style="thin">
        <color rgb="FF999999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ck">
        <color rgb="FF000000"/>
      </right>
      <bottom style="thin">
        <color rgb="FF999999"/>
      </bottom>
    </border>
    <border>
      <left style="dotted">
        <color rgb="FF000000"/>
      </left>
      <right style="medium">
        <color rgb="FF000000"/>
      </right>
      <bottom style="thin">
        <color rgb="FF999999"/>
      </bottom>
    </border>
    <border>
      <right style="thick">
        <color rgb="FF000000"/>
      </right>
      <bottom style="thick">
        <color rgb="FF000000"/>
      </bottom>
    </border>
    <border>
      <right style="dotted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medium">
        <color rgb="FF000000"/>
      </right>
      <bottom style="thick">
        <color rgb="FF000000"/>
      </bottom>
    </border>
    <border>
      <right style="dotted">
        <color rgb="FF000000"/>
      </right>
      <bottom style="thin">
        <color rgb="FF999999"/>
      </bottom>
    </border>
    <border>
      <left style="dotted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dotted">
        <color rgb="FF000000"/>
      </right>
      <bottom style="thick">
        <color rgb="FF000000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left style="dotted">
        <color rgb="FF000000"/>
      </left>
      <right style="thin">
        <color rgb="FF999999"/>
      </right>
      <bottom style="thick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ck">
        <color rgb="FF000000"/>
      </bottom>
    </border>
    <border>
      <right style="thick">
        <color rgb="FF000000"/>
      </right>
      <top style="thin">
        <color rgb="FF999999"/>
      </top>
      <bottom style="thick">
        <color rgb="FF000000"/>
      </bottom>
    </border>
    <border>
      <right style="dotted">
        <color rgb="FF000000"/>
      </right>
      <top style="thin">
        <color rgb="FF999999"/>
      </top>
      <bottom style="thick">
        <color rgb="FF000000"/>
      </bottom>
    </border>
    <border>
      <right style="thin">
        <color rgb="FF000000"/>
      </right>
      <top style="thin">
        <color rgb="FF999999"/>
      </top>
      <bottom style="thick">
        <color rgb="FF000000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ck">
        <color rgb="FF000000"/>
      </bottom>
    </border>
    <border>
      <right style="medium">
        <color rgb="FF000000"/>
      </right>
      <top style="thin">
        <color rgb="FF999999"/>
      </top>
      <bottom style="thick">
        <color rgb="FF000000"/>
      </bottom>
    </border>
    <border>
      <right style="thin">
        <color rgb="FF999999"/>
      </right>
      <top style="thin">
        <color rgb="FF999999"/>
      </top>
      <bottom style="thick">
        <color rgb="FF000000"/>
      </bottom>
    </border>
    <border>
      <left style="thin">
        <color rgb="FF999999"/>
      </left>
      <top style="thin">
        <color rgb="FF999999"/>
      </top>
      <bottom style="thick">
        <color rgb="FF000000"/>
      </bottom>
    </border>
    <border>
      <left style="thin">
        <color rgb="FF000000"/>
      </left>
      <top style="thin">
        <color rgb="FF999999"/>
      </top>
      <bottom style="thick">
        <color rgb="FF000000"/>
      </bottom>
    </border>
    <border>
      <left style="thick">
        <color rgb="FF000000"/>
      </left>
      <top style="thin">
        <color rgb="FF999999"/>
      </top>
      <bottom style="thick">
        <color rgb="FF000000"/>
      </bottom>
    </border>
    <border>
      <left style="dotted">
        <color rgb="FF000000"/>
      </left>
      <top style="thin">
        <color rgb="FF999999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ck">
        <color rgb="FF000000"/>
      </bottom>
    </border>
    <border>
      <top style="thin">
        <color rgb="FF999999"/>
      </top>
      <bottom style="thick">
        <color rgb="FF000000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ck">
        <color rgb="FF000000"/>
      </bottom>
    </border>
    <border>
      <left style="dotted">
        <color rgb="FF000000"/>
      </lef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left style="thin">
        <color rgb="FF000000"/>
      </lef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left style="dotted">
        <color rgb="FF000000"/>
      </left>
      <right style="thin">
        <color rgb="FF999999"/>
      </right>
    </border>
    <border>
      <left style="thin">
        <color rgb="FF999999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  <right style="medium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dotted">
        <color rgb="FF000000"/>
      </left>
      <right style="thin">
        <color rgb="FF999999"/>
      </right>
      <top style="thick">
        <color rgb="FF000000"/>
      </top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ck">
        <color rgb="FF000000"/>
      </top>
      <bottom style="thin">
        <color rgb="FF999999"/>
      </bottom>
    </border>
    <border>
      <left style="thin">
        <color rgb="FF000000"/>
      </left>
      <top style="thick">
        <color rgb="FF000000"/>
      </top>
      <bottom style="thin">
        <color rgb="FF999999"/>
      </bottom>
    </border>
    <border>
      <left style="thick">
        <color rgb="FF000000"/>
      </left>
      <top style="thick">
        <color rgb="FF000000"/>
      </top>
      <bottom style="thin">
        <color rgb="FF999999"/>
      </bottom>
    </border>
    <border>
      <left style="dotted">
        <color rgb="FF000000"/>
      </left>
      <top style="thick">
        <color rgb="FF000000"/>
      </top>
      <bottom style="thin">
        <color rgb="FF999999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999999"/>
      </bottom>
    </border>
    <border>
      <top style="thick">
        <color rgb="FF000000"/>
      </top>
      <bottom style="thin">
        <color rgb="FF999999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n">
        <color rgb="FF999999"/>
      </bottom>
    </border>
    <border>
      <right style="thick">
        <color rgb="FF000000"/>
      </right>
      <top style="thick">
        <color rgb="FF000000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ck">
        <color rgb="FF000000"/>
      </top>
      <bottom style="thin">
        <color rgb="FF999999"/>
      </bottom>
    </border>
    <border>
      <right style="dotted">
        <color rgb="FF000000"/>
      </right>
      <top style="thick">
        <color rgb="FF000000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ck">
        <color rgb="FF000000"/>
      </top>
      <bottom style="thin">
        <color rgb="FF999999"/>
      </bottom>
    </border>
    <border>
      <left style="thin">
        <color rgb="FF999999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999999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n">
        <color rgb="FF000000"/>
      </bottom>
    </border>
    <border>
      <right style="thick">
        <color rgb="FF000000"/>
      </righ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n">
        <color rgb="FF000000"/>
      </bottom>
    </border>
    <border>
      <right style="dotted">
        <color rgb="FF000000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999999"/>
      </top>
    </border>
    <border>
      <right style="dotted">
        <color rgb="FF000000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ck">
        <color rgb="FF000000"/>
      </top>
      <bottom style="thin">
        <color rgb="FF999999"/>
      </bottom>
    </border>
    <border>
      <right style="thin">
        <color rgb="FF000000"/>
      </right>
      <top style="thick">
        <color rgb="FF000000"/>
      </top>
      <bottom style="thin">
        <color rgb="FF999999"/>
      </bottom>
    </border>
    <border>
      <right style="medium">
        <color rgb="FF000000"/>
      </right>
      <top style="thick">
        <color rgb="FF000000"/>
      </top>
      <bottom style="thin">
        <color rgb="FF999999"/>
      </bottom>
    </border>
    <border>
      <right style="thin">
        <color rgb="FF999999"/>
      </right>
      <top style="thick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ck">
        <color rgb="FF000000"/>
      </lef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right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1" fillId="0" fontId="5" numFmtId="165" xfId="0" applyAlignment="1" applyBorder="1" applyFont="1" applyNumberFormat="1">
      <alignment readingOrder="0" vertical="center"/>
    </xf>
    <xf borderId="1" fillId="5" fontId="6" numFmtId="166" xfId="0" applyAlignment="1" applyBorder="1" applyFill="1" applyFont="1" applyNumberForma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165" xfId="0" applyAlignment="1" applyBorder="1" applyFont="1" applyNumberFormat="1">
      <alignment horizontal="center" readingOrder="0" vertical="center"/>
    </xf>
    <xf borderId="1" fillId="5" fontId="6" numFmtId="165" xfId="0" applyAlignment="1" applyBorder="1" applyFill="1" applyFont="1" applyNumberFormat="1">
      <alignment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6" fillId="7" fontId="6" numFmtId="165" xfId="0" applyAlignment="1" applyBorder="1" applyFill="1" applyFont="1" applyNumberFormat="1">
      <alignment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1" fillId="8" fontId="5" numFmtId="166" xfId="0" applyAlignment="1" applyBorder="1" applyFill="1" applyFont="1" applyNumberFormat="1">
      <alignment readingOrder="0" vertical="center"/>
    </xf>
    <xf borderId="9" fillId="0" fontId="7" numFmtId="0" xfId="0" applyBorder="1" applyFont="1"/>
    <xf borderId="3" fillId="9" fontId="6" numFmtId="165" xfId="0" applyAlignment="1" applyBorder="1" applyFill="1" applyFont="1" applyNumberForma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1" fillId="8" fontId="5" numFmtId="165" xfId="0" applyAlignment="1" applyBorder="1" applyFill="1" applyFont="1" applyNumberFormat="1">
      <alignment readingOrder="0" vertical="center"/>
    </xf>
    <xf borderId="2" fillId="4" fontId="2" numFmtId="0" xfId="0" applyAlignment="1" applyBorder="1" applyFill="1" applyFont="1">
      <alignment horizontal="center" readingOrder="0" vertical="center"/>
    </xf>
    <xf borderId="6" fillId="5" fontId="5" numFmtId="166" xfId="0" applyAlignment="1" applyBorder="1" applyFill="1" applyFont="1" applyNumberFormat="1">
      <alignment readingOrder="0" vertical="center"/>
    </xf>
    <xf borderId="6" fillId="5" fontId="5" numFmtId="165" xfId="0" applyAlignment="1" applyBorder="1" applyFill="1" applyFont="1" applyNumberFormat="1">
      <alignment readingOrder="0" vertical="center"/>
    </xf>
    <xf borderId="6" fillId="0" fontId="8" numFmtId="166" xfId="0" applyAlignment="1" applyBorder="1" applyFont="1" applyNumberFormat="1">
      <alignment vertical="center"/>
    </xf>
    <xf borderId="12" fillId="0" fontId="1" numFmtId="0" xfId="0" applyAlignment="1" applyBorder="1" applyFont="1">
      <alignment horizontal="left" readingOrder="0" vertical="top"/>
    </xf>
    <xf borderId="6" fillId="0" fontId="8" numFmtId="165" xfId="0" applyAlignment="1" applyBorder="1" applyFont="1" applyNumberFormat="1">
      <alignment vertical="center"/>
    </xf>
    <xf borderId="12" fillId="0" fontId="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7" numFmtId="0" xfId="0" applyBorder="1" applyFont="1"/>
    <xf borderId="13" fillId="3" fontId="2" numFmtId="0" xfId="0" applyAlignment="1" applyBorder="1" applyFill="1" applyFont="1">
      <alignment horizontal="center" readingOrder="0" vertical="center"/>
    </xf>
    <xf borderId="13" fillId="0" fontId="7" numFmtId="0" xfId="0" applyBorder="1" applyFont="1"/>
    <xf borderId="14" fillId="3" fontId="2" numFmtId="0" xfId="0" applyAlignment="1" applyBorder="1" applyFill="1" applyFont="1">
      <alignment horizontal="center" readingOrder="0" vertical="center"/>
    </xf>
    <xf borderId="15" fillId="6" fontId="2" numFmtId="0" xfId="0" applyAlignment="1" applyBorder="1" applyFill="1" applyFont="1">
      <alignment horizontal="center" readingOrder="0" vertical="center"/>
    </xf>
    <xf borderId="16" fillId="3" fontId="2" numFmtId="0" xfId="0" applyAlignment="1" applyBorder="1" applyFill="1" applyFont="1">
      <alignment horizontal="center" readingOrder="0" vertical="center"/>
    </xf>
    <xf borderId="17" fillId="3" fontId="2" numFmtId="0" xfId="0" applyAlignment="1" applyBorder="1" applyFill="1" applyFont="1">
      <alignment horizontal="center" readingOrder="0" vertical="center"/>
    </xf>
    <xf borderId="14" fillId="0" fontId="7" numFmtId="0" xfId="0" applyBorder="1" applyFont="1"/>
    <xf borderId="18" fillId="3" fontId="2" numFmtId="0" xfId="0" applyAlignment="1" applyBorder="1" applyFill="1" applyFont="1">
      <alignment horizontal="center" readingOrder="0" vertical="center"/>
    </xf>
    <xf borderId="18" fillId="4" fontId="2" numFmtId="0" xfId="0" applyAlignment="1" applyBorder="1" applyFill="1" applyFont="1">
      <alignment horizontal="center" readingOrder="0" vertical="center"/>
    </xf>
    <xf borderId="19" fillId="3" fontId="2" numFmtId="0" xfId="0" applyAlignment="1" applyBorder="1" applyFill="1" applyFont="1">
      <alignment horizontal="center" readingOrder="0" vertical="center"/>
    </xf>
    <xf borderId="15" fillId="3" fontId="2" numFmtId="0" xfId="0" applyAlignment="1" applyBorder="1" applyFill="1" applyFont="1">
      <alignment horizontal="center" readingOrder="0" vertical="center"/>
    </xf>
    <xf borderId="20" fillId="3" fontId="2" numFmtId="0" xfId="0" applyAlignment="1" applyBorder="1" applyFill="1" applyFont="1">
      <alignment horizontal="center" readingOrder="0" vertical="center"/>
    </xf>
    <xf borderId="18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23" fillId="3" fontId="2" numFmtId="0" xfId="0" applyAlignment="1" applyBorder="1" applyFill="1" applyFont="1">
      <alignment horizontal="center" readingOrder="0" vertical="center"/>
    </xf>
    <xf borderId="16" fillId="4" fontId="2" numFmtId="0" xfId="0" applyAlignment="1" applyBorder="1" applyFill="1" applyFont="1">
      <alignment horizontal="center" readingOrder="0" vertical="center"/>
    </xf>
    <xf borderId="15" fillId="0" fontId="7" numFmtId="0" xfId="0" applyBorder="1" applyFont="1"/>
    <xf borderId="24" fillId="0" fontId="8" numFmtId="0" xfId="0" applyAlignment="1" applyBorder="1" applyFont="1">
      <alignment readingOrder="0" vertical="center"/>
    </xf>
    <xf borderId="25" fillId="0" fontId="8" numFmtId="0" xfId="0" applyAlignment="1" applyBorder="1" applyFont="1">
      <alignment readingOrder="0" vertical="center"/>
    </xf>
    <xf borderId="26" fillId="0" fontId="8" numFmtId="0" xfId="0" applyAlignment="1" applyBorder="1" applyFont="1">
      <alignment readingOrder="0" vertical="center"/>
    </xf>
    <xf borderId="27" fillId="0" fontId="1" numFmtId="0" xfId="0" applyAlignment="1" applyBorder="1" applyFont="1">
      <alignment readingOrder="0" vertical="center"/>
    </xf>
    <xf borderId="28" fillId="0" fontId="8" numFmtId="0" xfId="0" applyAlignment="1" applyBorder="1" applyFont="1">
      <alignment readingOrder="0" vertical="center"/>
    </xf>
    <xf borderId="29" fillId="7" fontId="6" numFmtId="165" xfId="0" applyAlignment="1" applyBorder="1" applyFill="1" applyFont="1" applyNumberFormat="1">
      <alignment readingOrder="0" vertical="center"/>
    </xf>
    <xf borderId="30" fillId="0" fontId="1" numFmtId="0" xfId="0" applyAlignment="1" applyBorder="1" applyFont="1">
      <alignment readingOrder="0" vertical="center"/>
    </xf>
    <xf borderId="31" fillId="0" fontId="4" numFmtId="1" xfId="0" applyAlignment="1" applyBorder="1" applyFont="1" applyNumberFormat="1">
      <alignment horizontal="right" readingOrder="0" vertical="center"/>
    </xf>
    <xf borderId="32" fillId="7" fontId="6" numFmtId="165" xfId="0" applyAlignment="1" applyBorder="1" applyFill="1" applyFont="1" applyNumberFormat="1">
      <alignment readingOrder="0" vertical="center"/>
    </xf>
    <xf borderId="33" fillId="0" fontId="1" numFmtId="0" xfId="0" applyAlignment="1" applyBorder="1" applyFont="1">
      <alignment readingOrder="0" vertical="center"/>
    </xf>
    <xf borderId="34" fillId="0" fontId="4" numFmtId="1" xfId="0" applyAlignment="1" applyBorder="1" applyFont="1" applyNumberFormat="1">
      <alignment horizontal="right" readingOrder="0" vertical="center"/>
    </xf>
    <xf borderId="35" fillId="0" fontId="5" numFmtId="9" xfId="0" applyAlignment="1" applyBorder="1" applyFont="1" applyNumberFormat="1">
      <alignment readingOrder="0" vertical="center"/>
    </xf>
    <xf borderId="36" fillId="7" fontId="6" numFmtId="165" xfId="0" applyAlignment="1" applyBorder="1" applyFill="1" applyFont="1" applyNumberFormat="1">
      <alignment readingOrder="0" vertical="center"/>
    </xf>
    <xf borderId="37" fillId="0" fontId="5" numFmtId="165" xfId="0" applyAlignment="1" applyBorder="1" applyFont="1" applyNumberFormat="1">
      <alignment readingOrder="0" vertical="center"/>
    </xf>
    <xf borderId="38" fillId="0" fontId="5" numFmtId="9" xfId="0" applyAlignment="1" applyBorder="1" applyFont="1" applyNumberFormat="1">
      <alignment readingOrder="0" vertical="center"/>
    </xf>
    <xf borderId="39" fillId="0" fontId="5" numFmtId="165" xfId="0" applyAlignment="1" applyBorder="1" applyFont="1" applyNumberFormat="1">
      <alignment readingOrder="0" vertical="center"/>
    </xf>
    <xf borderId="40" fillId="0" fontId="5" numFmtId="165" xfId="0" applyAlignment="1" applyBorder="1" applyFont="1" applyNumberFormat="1">
      <alignment readingOrder="0" vertical="center"/>
    </xf>
    <xf borderId="41" fillId="5" fontId="5" numFmtId="165" xfId="0" applyAlignment="1" applyBorder="1" applyFill="1" applyFont="1" applyNumberFormat="1">
      <alignment readingOrder="0" vertical="center"/>
    </xf>
    <xf borderId="42" fillId="0" fontId="4" numFmtId="0" xfId="0" applyAlignment="1" applyBorder="1" applyFont="1">
      <alignment horizontal="center" readingOrder="0" vertical="center"/>
    </xf>
    <xf borderId="43" fillId="9" fontId="6" numFmtId="165" xfId="0" applyAlignment="1" applyBorder="1" applyFill="1" applyFont="1" applyNumberFormat="1">
      <alignment horizontal="right" readingOrder="0" vertical="center"/>
    </xf>
    <xf borderId="42" fillId="0" fontId="4" numFmtId="164" xfId="0" applyAlignment="1" applyBorder="1" applyFont="1" applyNumberFormat="1">
      <alignment horizontal="center" readingOrder="0" vertical="center"/>
    </xf>
    <xf borderId="43" fillId="0" fontId="4" numFmtId="0" xfId="0" applyAlignment="1" applyBorder="1" applyFont="1">
      <alignment horizontal="center" readingOrder="0" vertical="center"/>
    </xf>
    <xf borderId="44" fillId="5" fontId="5" numFmtId="165" xfId="0" applyAlignment="1" applyBorder="1" applyFill="1" applyFont="1" applyNumberFormat="1">
      <alignment readingOrder="0" vertical="center"/>
    </xf>
    <xf borderId="35" fillId="0" fontId="4" numFmtId="0" xfId="0" applyAlignment="1" applyBorder="1" applyFont="1">
      <alignment horizontal="center" readingOrder="0" vertical="center"/>
    </xf>
    <xf borderId="42" fillId="0" fontId="8" numFmtId="0" xfId="0" applyAlignment="1" applyBorder="1" applyFont="1">
      <alignment readingOrder="0" vertical="center"/>
    </xf>
    <xf borderId="45" fillId="9" fontId="6" numFmtId="165" xfId="0" applyAlignment="1" applyBorder="1" applyFill="1" applyFont="1" applyNumberFormat="1">
      <alignment horizontal="right" readingOrder="0" vertical="center"/>
    </xf>
    <xf borderId="46" fillId="5" fontId="5" numFmtId="165" xfId="0" applyAlignment="1" applyBorder="1" applyFill="1" applyFont="1" applyNumberFormat="1">
      <alignment readingOrder="0" vertical="center"/>
    </xf>
    <xf borderId="47" fillId="0" fontId="7" numFmtId="0" xfId="0" applyBorder="1" applyFont="1"/>
    <xf borderId="38" fillId="0" fontId="4" numFmtId="0" xfId="0" applyAlignment="1" applyBorder="1" applyFont="1">
      <alignment horizontal="center" readingOrder="0" vertical="center"/>
    </xf>
    <xf borderId="35" fillId="0" fontId="4" numFmtId="164" xfId="0" applyAlignment="1" applyBorder="1" applyFont="1" applyNumberFormat="1">
      <alignment horizontal="center" readingOrder="0" vertical="center"/>
    </xf>
    <xf borderId="48" fillId="0" fontId="8" numFmtId="0" xfId="0" applyAlignment="1" applyBorder="1" applyFont="1">
      <alignment readingOrder="0" vertical="center"/>
    </xf>
    <xf borderId="49" fillId="9" fontId="6" numFmtId="165" xfId="0" applyAlignment="1" applyBorder="1" applyFill="1" applyFont="1" applyNumberFormat="1">
      <alignment horizontal="right" readingOrder="0" vertical="center"/>
    </xf>
    <xf borderId="45" fillId="0" fontId="4" numFmtId="10" xfId="0" applyAlignment="1" applyBorder="1" applyFont="1" applyNumberFormat="1">
      <alignment horizontal="center" readingOrder="0" vertical="center"/>
    </xf>
    <xf borderId="35" fillId="0" fontId="8" numFmtId="0" xfId="0" applyAlignment="1" applyBorder="1" applyFont="1">
      <alignment readingOrder="0" vertical="center"/>
    </xf>
    <xf borderId="38" fillId="0" fontId="4" numFmtId="164" xfId="0" applyAlignment="1" applyBorder="1" applyFont="1" applyNumberFormat="1">
      <alignment horizontal="center" readingOrder="0" vertical="center"/>
    </xf>
    <xf borderId="50" fillId="0" fontId="7" numFmtId="0" xfId="0" applyBorder="1" applyFont="1"/>
    <xf borderId="51" fillId="0" fontId="8" numFmtId="0" xfId="0" applyAlignment="1" applyBorder="1" applyFont="1">
      <alignment readingOrder="0" vertical="center"/>
    </xf>
    <xf borderId="49" fillId="0" fontId="4" numFmtId="10" xfId="0" applyAlignment="1" applyBorder="1" applyFont="1" applyNumberFormat="1">
      <alignment horizontal="center" readingOrder="0" vertical="center"/>
    </xf>
    <xf borderId="38" fillId="0" fontId="8" numFmtId="0" xfId="0" applyAlignment="1" applyBorder="1" applyFont="1">
      <alignment readingOrder="0" vertical="center"/>
    </xf>
    <xf borderId="52" fillId="0" fontId="8" numFmtId="0" xfId="0" applyAlignment="1" applyBorder="1" applyFont="1">
      <alignment readingOrder="0" vertical="center"/>
    </xf>
    <xf borderId="53" fillId="0" fontId="7" numFmtId="0" xfId="0" applyBorder="1" applyFont="1"/>
    <xf borderId="54" fillId="0" fontId="8" numFmtId="0" xfId="0" applyAlignment="1" applyBorder="1" applyFont="1">
      <alignment readingOrder="0" vertical="center"/>
    </xf>
    <xf borderId="55" fillId="0" fontId="8" numFmtId="0" xfId="0" applyAlignment="1" applyBorder="1" applyFont="1">
      <alignment readingOrder="0" vertical="center"/>
    </xf>
    <xf borderId="42" fillId="0" fontId="5" numFmtId="9" xfId="0" applyAlignment="1" applyBorder="1" applyFont="1" applyNumberFormat="1">
      <alignment readingOrder="0" vertical="center"/>
    </xf>
    <xf borderId="56" fillId="0" fontId="8" numFmtId="0" xfId="0" applyBorder="1" applyFont="1"/>
    <xf borderId="57" fillId="0" fontId="8" numFmtId="0" xfId="0" applyBorder="1" applyFont="1"/>
    <xf borderId="58" fillId="0" fontId="1" numFmtId="0" xfId="0" applyAlignment="1" applyBorder="1" applyFont="1">
      <alignment readingOrder="0"/>
    </xf>
    <xf borderId="59" fillId="0" fontId="9" numFmtId="1" xfId="0" applyBorder="1" applyFont="1" applyNumberFormat="1"/>
    <xf borderId="57" fillId="7" fontId="6" numFmtId="165" xfId="0" applyAlignment="1" applyBorder="1" applyFill="1" applyFont="1" applyNumberFormat="1">
      <alignment horizontal="right"/>
    </xf>
    <xf borderId="58" fillId="0" fontId="5" numFmtId="9" xfId="0" applyAlignment="1" applyBorder="1" applyFont="1" applyNumberFormat="1">
      <alignment horizontal="right"/>
    </xf>
    <xf borderId="57" fillId="0" fontId="5" numFmtId="165" xfId="0" applyAlignment="1" applyBorder="1" applyFont="1" applyNumberFormat="1">
      <alignment horizontal="right"/>
    </xf>
    <xf borderId="57" fillId="5" fontId="5" numFmtId="165" xfId="0" applyAlignment="1" applyBorder="1" applyFill="1" applyFont="1" applyNumberFormat="1">
      <alignment horizontal="right"/>
    </xf>
    <xf borderId="58" fillId="0" fontId="4" numFmtId="0" xfId="0" applyAlignment="1" applyBorder="1" applyFont="1">
      <alignment horizontal="center" readingOrder="0"/>
    </xf>
    <xf borderId="60" fillId="9" fontId="6" numFmtId="165" xfId="0" applyAlignment="1" applyBorder="1" applyFill="1" applyFont="1" applyNumberFormat="1">
      <alignment horizontal="right" readingOrder="0" vertical="center"/>
    </xf>
    <xf borderId="58" fillId="0" fontId="4" numFmtId="164" xfId="0" applyAlignment="1" applyBorder="1" applyFont="1" applyNumberFormat="1">
      <alignment horizontal="center"/>
    </xf>
    <xf borderId="61" fillId="0" fontId="4" numFmtId="10" xfId="0" applyAlignment="1" applyBorder="1" applyFont="1" applyNumberFormat="1">
      <alignment horizontal="center"/>
    </xf>
    <xf borderId="62" fillId="0" fontId="9" numFmtId="0" xfId="0" applyBorder="1" applyFont="1"/>
    <xf borderId="63" fillId="0" fontId="8" numFmtId="0" xfId="0" applyAlignment="1" applyBorder="1" applyFont="1">
      <alignment readingOrder="0" vertical="center"/>
    </xf>
    <xf borderId="64" fillId="0" fontId="8" numFmtId="0" xfId="0" applyAlignment="1" applyBorder="1" applyFont="1">
      <alignment readingOrder="0" vertical="center"/>
    </xf>
    <xf borderId="65" fillId="0" fontId="1" numFmtId="0" xfId="0" applyAlignment="1" applyBorder="1" applyFont="1">
      <alignment readingOrder="0" vertical="center"/>
    </xf>
    <xf borderId="66" fillId="0" fontId="4" numFmtId="1" xfId="0" applyAlignment="1" applyBorder="1" applyFont="1" applyNumberFormat="1">
      <alignment horizontal="right" readingOrder="0" vertical="center"/>
    </xf>
    <xf borderId="67" fillId="7" fontId="6" numFmtId="165" xfId="0" applyAlignment="1" applyBorder="1" applyFill="1" applyFont="1" applyNumberFormat="1">
      <alignment readingOrder="0" vertical="center"/>
    </xf>
    <xf borderId="68" fillId="0" fontId="5" numFmtId="165" xfId="0" applyAlignment="1" applyBorder="1" applyFont="1" applyNumberFormat="1">
      <alignment readingOrder="0" vertical="center"/>
    </xf>
    <xf borderId="57" fillId="5" fontId="5" numFmtId="165" xfId="0" applyAlignment="1" applyBorder="1" applyFill="1" applyFont="1" applyNumberFormat="1">
      <alignment readingOrder="0" vertical="center"/>
    </xf>
    <xf borderId="69" fillId="0" fontId="4" numFmtId="0" xfId="0" applyAlignment="1" applyBorder="1" applyFont="1">
      <alignment horizontal="center" readingOrder="0" vertical="center"/>
    </xf>
    <xf borderId="69" fillId="0" fontId="4" numFmtId="164" xfId="0" applyAlignment="1" applyBorder="1" applyFont="1" applyNumberFormat="1">
      <alignment horizontal="center" readingOrder="0" vertical="center"/>
    </xf>
    <xf borderId="60" fillId="0" fontId="4" numFmtId="10" xfId="0" applyAlignment="1" applyBorder="1" applyFont="1" applyNumberFormat="1">
      <alignment horizontal="center" readingOrder="0" vertical="center"/>
    </xf>
    <xf borderId="69" fillId="0" fontId="8" numFmtId="0" xfId="0" applyAlignment="1" applyBorder="1" applyFont="1">
      <alignment readingOrder="0" vertical="center"/>
    </xf>
    <xf borderId="58" fillId="0" fontId="7" numFmtId="0" xfId="0" applyBorder="1" applyFont="1"/>
    <xf borderId="33" fillId="0" fontId="1" numFmtId="0" xfId="0" applyAlignment="1" applyBorder="1" applyFont="1">
      <alignment horizontal="right" readingOrder="0" vertical="center"/>
    </xf>
    <xf borderId="70" fillId="0" fontId="8" numFmtId="0" xfId="0" applyAlignment="1" applyBorder="1" applyFont="1">
      <alignment readingOrder="0" vertical="center"/>
    </xf>
    <xf borderId="71" fillId="0" fontId="4" numFmtId="1" xfId="0" applyAlignment="1" applyBorder="1" applyFont="1" applyNumberFormat="1">
      <alignment horizontal="right" readingOrder="0" vertical="center"/>
    </xf>
    <xf borderId="43" fillId="0" fontId="4" numFmtId="10" xfId="0" applyAlignment="1" applyBorder="1" applyFont="1" applyNumberFormat="1">
      <alignment horizontal="center" readingOrder="0" vertical="center"/>
    </xf>
    <xf borderId="72" fillId="0" fontId="8" numFmtId="0" xfId="0" applyAlignment="1" applyBorder="1" applyFont="1">
      <alignment readingOrder="0" vertical="center"/>
    </xf>
    <xf borderId="73" fillId="0" fontId="8" numFmtId="0" xfId="0" applyAlignment="1" applyBorder="1" applyFont="1">
      <alignment readingOrder="0" vertical="center"/>
    </xf>
    <xf borderId="74" fillId="0" fontId="1" numFmtId="0" xfId="0" applyAlignment="1" applyBorder="1" applyFont="1">
      <alignment horizontal="right" readingOrder="0" vertical="center"/>
    </xf>
    <xf borderId="6" fillId="0" fontId="4" numFmtId="1" xfId="0" applyAlignment="1" applyBorder="1" applyFont="1" applyNumberFormat="1">
      <alignment horizontal="right" readingOrder="0" vertical="center"/>
    </xf>
    <xf borderId="75" fillId="7" fontId="6" numFmtId="165" xfId="0" applyAlignment="1" applyBorder="1" applyFill="1" applyFont="1" applyNumberFormat="1">
      <alignment readingOrder="0" vertical="center"/>
    </xf>
    <xf borderId="0" fillId="0" fontId="5" numFmtId="9" xfId="0" applyAlignment="1" applyFont="1" applyNumberFormat="1">
      <alignment readingOrder="0" vertical="center"/>
    </xf>
    <xf borderId="5" fillId="0" fontId="5" numFmtId="165" xfId="0" applyAlignment="1" applyBorder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3" fillId="9" fontId="6" numFmtId="165" xfId="0" applyAlignment="1" applyBorder="1" applyFill="1" applyFont="1" applyNumberFormat="1">
      <alignment horizontal="right" readingOrder="0" vertical="center"/>
    </xf>
    <xf borderId="0" fillId="0" fontId="4" numFmtId="164" xfId="0" applyAlignment="1" applyFont="1" applyNumberFormat="1">
      <alignment horizontal="center" readingOrder="0" vertical="center"/>
    </xf>
    <xf borderId="3" fillId="0" fontId="4" numFmtId="10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2" fillId="0" fontId="7" numFmtId="0" xfId="0" applyBorder="1" applyFont="1"/>
    <xf borderId="76" fillId="0" fontId="8" numFmtId="0" xfId="0" applyAlignment="1" applyBorder="1" applyFont="1">
      <alignment readingOrder="0" vertical="center"/>
    </xf>
    <xf borderId="77" fillId="0" fontId="8" numFmtId="0" xfId="0" applyAlignment="1" applyBorder="1" applyFont="1">
      <alignment readingOrder="0" vertical="center"/>
    </xf>
    <xf borderId="78" fillId="0" fontId="8" numFmtId="0" xfId="0" applyAlignment="1" applyBorder="1" applyFont="1">
      <alignment readingOrder="0" vertical="center"/>
    </xf>
    <xf borderId="79" fillId="0" fontId="1" numFmtId="0" xfId="0" applyAlignment="1" applyBorder="1" applyFont="1">
      <alignment readingOrder="0" vertical="center"/>
    </xf>
    <xf borderId="80" fillId="0" fontId="4" numFmtId="1" xfId="0" applyAlignment="1" applyBorder="1" applyFont="1" applyNumberFormat="1">
      <alignment horizontal="right" readingOrder="0" vertical="center"/>
    </xf>
    <xf borderId="81" fillId="7" fontId="6" numFmtId="165" xfId="0" applyAlignment="1" applyBorder="1" applyFill="1" applyFont="1" applyNumberFormat="1">
      <alignment readingOrder="0" vertical="center"/>
    </xf>
    <xf borderId="12" fillId="0" fontId="5" numFmtId="9" xfId="0" applyAlignment="1" applyBorder="1" applyFont="1" applyNumberFormat="1">
      <alignment readingOrder="0" vertical="center"/>
    </xf>
    <xf borderId="82" fillId="0" fontId="5" numFmtId="165" xfId="0" applyAlignment="1" applyBorder="1" applyFont="1" applyNumberFormat="1">
      <alignment readingOrder="0" vertical="center"/>
    </xf>
    <xf borderId="12" fillId="0" fontId="4" numFmtId="0" xfId="0" applyAlignment="1" applyBorder="1" applyFont="1">
      <alignment horizontal="center" readingOrder="0" vertical="center"/>
    </xf>
    <xf borderId="83" fillId="9" fontId="6" numFmtId="165" xfId="0" applyAlignment="1" applyBorder="1" applyFill="1" applyFont="1" applyNumberFormat="1">
      <alignment horizontal="right" readingOrder="0" vertical="center"/>
    </xf>
    <xf borderId="12" fillId="0" fontId="4" numFmtId="164" xfId="0" applyAlignment="1" applyBorder="1" applyFont="1" applyNumberFormat="1">
      <alignment horizontal="center" readingOrder="0" vertical="center"/>
    </xf>
    <xf borderId="83" fillId="0" fontId="4" numFmtId="10" xfId="0" applyAlignment="1" applyBorder="1" applyFont="1" applyNumberFormat="1">
      <alignment horizontal="center" readingOrder="0" vertical="center"/>
    </xf>
    <xf borderId="12" fillId="0" fontId="8" numFmtId="0" xfId="0" applyAlignment="1" applyBorder="1" applyFont="1">
      <alignment readingOrder="0" vertical="center"/>
    </xf>
    <xf borderId="84" fillId="0" fontId="7" numFmtId="0" xfId="0" applyBorder="1" applyFont="1"/>
    <xf borderId="85" fillId="0" fontId="8" numFmtId="167" xfId="0" applyAlignment="1" applyBorder="1" applyFont="1" applyNumberFormat="1">
      <alignment readingOrder="0" vertical="center"/>
    </xf>
    <xf borderId="48" fillId="0" fontId="8" numFmtId="167" xfId="0" applyAlignment="1" applyBorder="1" applyFont="1" applyNumberFormat="1">
      <alignment readingOrder="0" vertical="center"/>
    </xf>
    <xf borderId="60" fillId="0" fontId="4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left" readingOrder="0" vertical="center"/>
    </xf>
    <xf borderId="27" fillId="0" fontId="1" numFmtId="0" xfId="0" applyAlignment="1" applyBorder="1" applyFont="1">
      <alignment horizontal="right" readingOrder="0" vertical="center"/>
    </xf>
    <xf borderId="86" fillId="0" fontId="8" numFmtId="0" xfId="0" applyBorder="1" applyFont="1"/>
    <xf borderId="41" fillId="0" fontId="8" numFmtId="0" xfId="0" applyBorder="1" applyFont="1"/>
    <xf borderId="87" fillId="0" fontId="1" numFmtId="0" xfId="0" applyAlignment="1" applyBorder="1" applyFont="1">
      <alignment readingOrder="0"/>
    </xf>
    <xf borderId="45" fillId="0" fontId="4" numFmtId="0" xfId="0" applyAlignment="1" applyBorder="1" applyFont="1">
      <alignment horizontal="center" readingOrder="0" vertical="center"/>
    </xf>
    <xf borderId="41" fillId="7" fontId="6" numFmtId="165" xfId="0" applyAlignment="1" applyBorder="1" applyFill="1" applyFont="1" applyNumberFormat="1">
      <alignment horizontal="right"/>
    </xf>
    <xf borderId="47" fillId="0" fontId="5" numFmtId="9" xfId="0" applyAlignment="1" applyBorder="1" applyFont="1" applyNumberFormat="1">
      <alignment horizontal="right"/>
    </xf>
    <xf borderId="41" fillId="0" fontId="5" numFmtId="165" xfId="0" applyAlignment="1" applyBorder="1" applyFont="1" applyNumberFormat="1">
      <alignment horizontal="right"/>
    </xf>
    <xf borderId="41" fillId="5" fontId="5" numFmtId="165" xfId="0" applyAlignment="1" applyBorder="1" applyFill="1" applyFont="1" applyNumberFormat="1">
      <alignment horizontal="right"/>
    </xf>
    <xf borderId="47" fillId="0" fontId="4" numFmtId="0" xfId="0" applyAlignment="1" applyBorder="1" applyFont="1">
      <alignment horizontal="center"/>
    </xf>
    <xf borderId="88" fillId="9" fontId="9" numFmtId="165" xfId="0" applyBorder="1" applyFill="1" applyFont="1" applyNumberFormat="1"/>
    <xf borderId="47" fillId="0" fontId="4" numFmtId="164" xfId="0" applyAlignment="1" applyBorder="1" applyFont="1" applyNumberFormat="1">
      <alignment horizontal="center"/>
    </xf>
    <xf borderId="88" fillId="0" fontId="4" numFmtId="0" xfId="0" applyAlignment="1" applyBorder="1" applyFont="1">
      <alignment horizontal="center"/>
    </xf>
    <xf borderId="89" fillId="0" fontId="8" numFmtId="0" xfId="0" applyBorder="1" applyFont="1"/>
    <xf borderId="0" fillId="10" fontId="10" numFmtId="0" xfId="0" applyAlignment="1" applyFill="1" applyFont="1">
      <alignment horizontal="center" readingOrder="0" vertical="bottom"/>
    </xf>
    <xf borderId="0" fillId="10" fontId="10" numFmtId="0" xfId="0" applyAlignment="1" applyFill="1" applyFont="1">
      <alignment horizontal="center" readingOrder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11" numFmtId="0" xfId="0" applyFont="1"/>
    <xf borderId="69" fillId="0" fontId="5" numFmtId="9" xfId="0" applyAlignment="1" applyBorder="1" applyFont="1" applyNumberFormat="1">
      <alignment readingOrder="0" vertical="center"/>
    </xf>
    <xf borderId="41" fillId="0" fontId="9" numFmtId="0" xfId="0" applyBorder="1" applyFont="1"/>
    <xf borderId="90" fillId="0" fontId="8" numFmtId="0" xfId="0" applyAlignment="1" applyBorder="1" applyFont="1">
      <alignment readingOrder="0" vertical="center"/>
    </xf>
    <xf borderId="87" fillId="0" fontId="1" numFmtId="0" xfId="0" applyBorder="1" applyFont="1"/>
    <xf borderId="91" fillId="0" fontId="8" numFmtId="0" xfId="0" applyAlignment="1" applyBorder="1" applyFont="1">
      <alignment readingOrder="0" vertical="center"/>
    </xf>
    <xf borderId="92" fillId="0" fontId="1" numFmtId="0" xfId="0" applyAlignment="1" applyBorder="1" applyFont="1">
      <alignment readingOrder="0" vertical="center"/>
    </xf>
    <xf borderId="93" fillId="0" fontId="4" numFmtId="1" xfId="0" applyAlignment="1" applyBorder="1" applyFont="1" applyNumberFormat="1">
      <alignment horizontal="right" readingOrder="0" vertical="center"/>
    </xf>
    <xf borderId="41" fillId="0" fontId="5" numFmtId="165" xfId="0" applyAlignment="1" applyBorder="1" applyFont="1" applyNumberFormat="1">
      <alignment horizontal="right" readingOrder="0"/>
    </xf>
    <xf borderId="94" fillId="7" fontId="6" numFmtId="165" xfId="0" applyAlignment="1" applyBorder="1" applyFill="1" applyFont="1" applyNumberFormat="1">
      <alignment readingOrder="0" vertical="center"/>
    </xf>
    <xf borderId="95" fillId="0" fontId="5" numFmtId="9" xfId="0" applyAlignment="1" applyBorder="1" applyFont="1" applyNumberFormat="1">
      <alignment readingOrder="0" vertical="center"/>
    </xf>
    <xf borderId="96" fillId="0" fontId="5" numFmtId="165" xfId="0" applyAlignment="1" applyBorder="1" applyFont="1" applyNumberFormat="1">
      <alignment readingOrder="0" vertical="center"/>
    </xf>
    <xf borderId="89" fillId="0" fontId="9" numFmtId="0" xfId="0" applyBorder="1" applyFont="1"/>
    <xf borderId="97" fillId="5" fontId="6" numFmtId="165" xfId="0" applyAlignment="1" applyBorder="1" applyFill="1" applyFont="1" applyNumberFormat="1">
      <alignment readingOrder="0" vertical="center"/>
    </xf>
    <xf borderId="95" fillId="0" fontId="4" numFmtId="0" xfId="0" applyAlignment="1" applyBorder="1" applyFont="1">
      <alignment horizontal="center" readingOrder="0" vertical="center"/>
    </xf>
    <xf borderId="98" fillId="9" fontId="6" numFmtId="165" xfId="0" applyAlignment="1" applyBorder="1" applyFill="1" applyFont="1" applyNumberFormat="1">
      <alignment horizontal="right" readingOrder="0" vertical="center"/>
    </xf>
    <xf borderId="95" fillId="0" fontId="4" numFmtId="164" xfId="0" applyAlignment="1" applyBorder="1" applyFont="1" applyNumberFormat="1">
      <alignment horizontal="center" readingOrder="0" vertical="center"/>
    </xf>
    <xf borderId="98" fillId="0" fontId="4" numFmtId="0" xfId="0" applyAlignment="1" applyBorder="1" applyFont="1">
      <alignment horizontal="center" readingOrder="0" vertical="center"/>
    </xf>
    <xf borderId="95" fillId="0" fontId="8" numFmtId="0" xfId="0" applyAlignment="1" applyBorder="1" applyFont="1">
      <alignment readingOrder="0" vertical="center"/>
    </xf>
    <xf borderId="99" fillId="0" fontId="7" numFmtId="0" xfId="0" applyBorder="1" applyFont="1"/>
    <xf borderId="100" fillId="0" fontId="8" numFmtId="168" xfId="0" applyAlignment="1" applyBorder="1" applyFont="1" applyNumberFormat="1">
      <alignment readingOrder="0" vertical="center"/>
    </xf>
    <xf borderId="0" fillId="11" fontId="11" numFmtId="0" xfId="0" applyAlignment="1" applyFill="1" applyFont="1">
      <alignment horizontal="left" readingOrder="0" vertical="bottom"/>
    </xf>
    <xf borderId="41" fillId="5" fontId="6" numFmtId="165" xfId="0" applyAlignment="1" applyBorder="1" applyFill="1" applyFont="1" applyNumberFormat="1">
      <alignment readingOrder="0" vertical="center"/>
    </xf>
    <xf borderId="33" fillId="0" fontId="1" numFmtId="0" xfId="0" applyAlignment="1" applyBorder="1" applyFont="1">
      <alignment horizontal="left" readingOrder="0" vertical="center"/>
    </xf>
    <xf borderId="47" fillId="0" fontId="1" numFmtId="0" xfId="0" applyBorder="1" applyFont="1"/>
    <xf borderId="87" fillId="0" fontId="4" numFmtId="1" xfId="0" applyAlignment="1" applyBorder="1" applyFont="1" applyNumberFormat="1">
      <alignment horizontal="right"/>
    </xf>
    <xf borderId="88" fillId="9" fontId="6" numFmtId="165" xfId="0" applyAlignment="1" applyBorder="1" applyFill="1" applyFont="1" applyNumberFormat="1">
      <alignment horizontal="right" readingOrder="0"/>
    </xf>
    <xf borderId="88" fillId="0" fontId="4" numFmtId="10" xfId="0" applyAlignment="1" applyBorder="1" applyFont="1" applyNumberFormat="1">
      <alignment horizontal="center"/>
    </xf>
    <xf borderId="42" fillId="0" fontId="8" numFmtId="0" xfId="0" applyAlignment="1" applyBorder="1" applyFont="1">
      <alignment readingOrder="0"/>
    </xf>
    <xf borderId="89" fillId="0" fontId="8" numFmtId="167" xfId="0" applyAlignment="1" applyBorder="1" applyFont="1" applyNumberFormat="1">
      <alignment horizontal="right"/>
    </xf>
    <xf borderId="101" fillId="0" fontId="8" numFmtId="0" xfId="0" applyAlignment="1" applyBorder="1" applyFont="1">
      <alignment readingOrder="0" vertical="center"/>
    </xf>
    <xf borderId="102" fillId="0" fontId="8" numFmtId="0" xfId="0" applyAlignment="1" applyBorder="1" applyFont="1">
      <alignment readingOrder="0" vertical="center"/>
    </xf>
    <xf borderId="103" fillId="0" fontId="1" numFmtId="0" xfId="0" applyAlignment="1" applyBorder="1" applyFont="1">
      <alignment horizontal="left" readingOrder="0" vertical="center"/>
    </xf>
    <xf borderId="104" fillId="7" fontId="6" numFmtId="165" xfId="0" applyAlignment="1" applyBorder="1" applyFill="1" applyFont="1" applyNumberFormat="1">
      <alignment readingOrder="0" vertical="center"/>
    </xf>
    <xf borderId="7" fillId="0" fontId="5" numFmtId="9" xfId="0" applyAlignment="1" applyBorder="1" applyFont="1" applyNumberFormat="1">
      <alignment readingOrder="0" vertical="center"/>
    </xf>
    <xf borderId="105" fillId="0" fontId="5" numFmtId="165" xfId="0" applyAlignment="1" applyBorder="1" applyFont="1" applyNumberFormat="1">
      <alignment readingOrder="0" vertical="center"/>
    </xf>
    <xf borderId="106" fillId="5" fontId="5" numFmtId="165" xfId="0" applyAlignment="1" applyBorder="1" applyFill="1" applyFont="1" applyNumberFormat="1">
      <alignment readingOrder="0" vertical="center"/>
    </xf>
    <xf borderId="107" fillId="0" fontId="4" numFmtId="0" xfId="0" applyAlignment="1" applyBorder="1" applyFont="1">
      <alignment horizontal="center" readingOrder="0" vertical="center"/>
    </xf>
    <xf borderId="108" fillId="9" fontId="6" numFmtId="165" xfId="0" applyAlignment="1" applyBorder="1" applyFill="1" applyFont="1" applyNumberFormat="1">
      <alignment horizontal="right" readingOrder="0" vertical="center"/>
    </xf>
    <xf borderId="107" fillId="0" fontId="4" numFmtId="164" xfId="0" applyAlignment="1" applyBorder="1" applyFont="1" applyNumberFormat="1">
      <alignment horizontal="center" readingOrder="0" vertical="center"/>
    </xf>
    <xf borderId="108" fillId="0" fontId="4" numFmtId="0" xfId="0" applyAlignment="1" applyBorder="1" applyFont="1">
      <alignment horizontal="center" readingOrder="0" vertical="center"/>
    </xf>
    <xf borderId="107" fillId="0" fontId="8" numFmtId="0" xfId="0" applyAlignment="1" applyBorder="1" applyFont="1">
      <alignment readingOrder="0" vertical="center"/>
    </xf>
    <xf borderId="109" fillId="0" fontId="7" numFmtId="0" xfId="0" applyBorder="1" applyFont="1"/>
    <xf borderId="110" fillId="0" fontId="8" numFmtId="0" xfId="0" applyAlignment="1" applyBorder="1" applyFont="1">
      <alignment readingOrder="0" vertical="center"/>
    </xf>
    <xf borderId="35" fillId="0" fontId="7" numFmtId="0" xfId="0" applyBorder="1" applyFont="1"/>
    <xf borderId="38" fillId="0" fontId="7" numFmtId="0" xfId="0" applyBorder="1" applyFont="1"/>
    <xf borderId="103" fillId="0" fontId="1" numFmtId="0" xfId="0" applyAlignment="1" applyBorder="1" applyFont="1">
      <alignment horizontal="right" readingOrder="0" vertical="center"/>
    </xf>
    <xf borderId="27" fillId="8" fontId="1" numFmtId="0" xfId="0" applyAlignment="1" applyBorder="1" applyFill="1" applyFont="1">
      <alignment readingOrder="0" vertical="center"/>
    </xf>
    <xf borderId="0" fillId="8" fontId="12" numFmtId="0" xfId="0" applyAlignment="1" applyFill="1" applyFont="1">
      <alignment horizontal="left" readingOrder="0"/>
    </xf>
    <xf borderId="47" fillId="0" fontId="8" numFmtId="0" xfId="0" applyAlignment="1" applyBorder="1" applyFont="1">
      <alignment readingOrder="0" vertical="center"/>
    </xf>
    <xf borderId="70" fillId="0" fontId="8" numFmtId="167" xfId="0" applyAlignment="1" applyBorder="1" applyFont="1" applyNumberFormat="1">
      <alignment readingOrder="0" vertical="center"/>
    </xf>
    <xf borderId="111" fillId="0" fontId="5" numFmtId="165" xfId="0" applyAlignment="1" applyBorder="1" applyFont="1" applyNumberFormat="1">
      <alignment readingOrder="0" vertical="center"/>
    </xf>
    <xf borderId="98" fillId="0" fontId="4" numFmtId="10" xfId="0" applyAlignment="1" applyBorder="1" applyFont="1" applyNumberFormat="1">
      <alignment horizontal="center" readingOrder="0" vertical="center"/>
    </xf>
    <xf borderId="100" fillId="0" fontId="8" numFmtId="0" xfId="0" applyAlignment="1" applyBorder="1" applyFont="1">
      <alignment readingOrder="0" vertical="center"/>
    </xf>
    <xf borderId="112" fillId="0" fontId="8" numFmtId="0" xfId="0" applyAlignment="1" applyBorder="1" applyFont="1">
      <alignment readingOrder="0" vertical="center"/>
    </xf>
    <xf borderId="113" fillId="0" fontId="7" numFmtId="0" xfId="0" applyBorder="1" applyFont="1"/>
    <xf borderId="41" fillId="7" fontId="6" numFmtId="165" xfId="0" applyAlignment="1" applyBorder="1" applyFill="1" applyFont="1" applyNumberFormat="1">
      <alignment horizontal="right" readingOrder="0"/>
    </xf>
    <xf borderId="47" fillId="11" fontId="13" numFmtId="9" xfId="0" applyAlignment="1" applyBorder="1" applyFill="1" applyFont="1" applyNumberFormat="1">
      <alignment horizontal="right"/>
    </xf>
    <xf borderId="41" fillId="5" fontId="5" numFmtId="165" xfId="0" applyAlignment="1" applyBorder="1" applyFill="1" applyFont="1" applyNumberFormat="1">
      <alignment horizontal="right" readingOrder="0"/>
    </xf>
    <xf borderId="89" fillId="0" fontId="8" numFmtId="0" xfId="0" applyAlignment="1" applyBorder="1" applyFont="1">
      <alignment readingOrder="0"/>
    </xf>
    <xf borderId="88" fillId="0" fontId="4" numFmtId="10" xfId="0" applyAlignment="1" applyBorder="1" applyFont="1" applyNumberFormat="1">
      <alignment horizontal="center" readingOrder="0"/>
    </xf>
    <xf borderId="65" fillId="0" fontId="1" numFmtId="0" xfId="0" applyAlignment="1" applyBorder="1" applyFont="1">
      <alignment horizontal="right" readingOrder="0" vertical="center"/>
    </xf>
    <xf borderId="57" fillId="5" fontId="6" numFmtId="165" xfId="0" applyAlignment="1" applyBorder="1" applyFill="1" applyFont="1" applyNumberFormat="1">
      <alignment readingOrder="0" vertical="center"/>
    </xf>
    <xf borderId="114" fillId="0" fontId="8" numFmtId="0" xfId="0" applyBorder="1" applyFont="1"/>
    <xf borderId="97" fillId="0" fontId="8" numFmtId="0" xfId="0" applyAlignment="1" applyBorder="1" applyFont="1">
      <alignment readingOrder="0"/>
    </xf>
    <xf borderId="99" fillId="0" fontId="1" numFmtId="0" xfId="0" applyAlignment="1" applyBorder="1" applyFont="1">
      <alignment readingOrder="0"/>
    </xf>
    <xf borderId="115" fillId="0" fontId="6" numFmtId="1" xfId="0" applyAlignment="1" applyBorder="1" applyFont="1" applyNumberFormat="1">
      <alignment horizontal="right"/>
    </xf>
    <xf borderId="97" fillId="7" fontId="6" numFmtId="165" xfId="0" applyAlignment="1" applyBorder="1" applyFill="1" applyFont="1" applyNumberFormat="1">
      <alignment horizontal="right" readingOrder="0"/>
    </xf>
    <xf borderId="99" fillId="0" fontId="5" numFmtId="9" xfId="0" applyAlignment="1" applyBorder="1" applyFont="1" applyNumberFormat="1">
      <alignment horizontal="right"/>
    </xf>
    <xf borderId="97" fillId="0" fontId="5" numFmtId="165" xfId="0" applyAlignment="1" applyBorder="1" applyFont="1" applyNumberFormat="1">
      <alignment horizontal="right"/>
    </xf>
    <xf borderId="97" fillId="5" fontId="6" numFmtId="165" xfId="0" applyAlignment="1" applyBorder="1" applyFill="1" applyFont="1" applyNumberFormat="1">
      <alignment horizontal="right" readingOrder="0"/>
    </xf>
    <xf borderId="99" fillId="0" fontId="9" numFmtId="0" xfId="0" applyBorder="1" applyFont="1"/>
    <xf borderId="116" fillId="9" fontId="9" numFmtId="165" xfId="0" applyBorder="1" applyFill="1" applyFont="1" applyNumberFormat="1"/>
    <xf borderId="99" fillId="0" fontId="4" numFmtId="164" xfId="0" applyAlignment="1" applyBorder="1" applyFont="1" applyNumberFormat="1">
      <alignment horizontal="center"/>
    </xf>
    <xf borderId="86" fillId="0" fontId="8" numFmtId="0" xfId="0" applyAlignment="1" applyBorder="1" applyFont="1">
      <alignment vertical="bottom"/>
    </xf>
    <xf borderId="116" fillId="0" fontId="4" numFmtId="10" xfId="0" applyAlignment="1" applyBorder="1" applyFont="1" applyNumberFormat="1">
      <alignment horizontal="center" readingOrder="0"/>
    </xf>
    <xf borderId="41" fillId="0" fontId="9" numFmtId="0" xfId="0" applyAlignment="1" applyBorder="1" applyFont="1">
      <alignment vertical="bottom"/>
    </xf>
    <xf borderId="87" fillId="0" fontId="1" numFmtId="0" xfId="0" applyAlignment="1" applyBorder="1" applyFont="1">
      <alignment readingOrder="0" vertical="bottom"/>
    </xf>
    <xf borderId="95" fillId="0" fontId="8" numFmtId="0" xfId="0" applyBorder="1" applyFont="1"/>
    <xf borderId="41" fillId="7" fontId="6" numFmtId="165" xfId="0" applyAlignment="1" applyBorder="1" applyFill="1" applyFont="1" applyNumberFormat="1">
      <alignment horizontal="right" readingOrder="0" vertical="bottom"/>
    </xf>
    <xf borderId="117" fillId="0" fontId="9" numFmtId="0" xfId="0" applyBorder="1" applyFont="1"/>
    <xf borderId="47" fillId="0" fontId="5" numFmtId="9" xfId="0" applyAlignment="1" applyBorder="1" applyFont="1" applyNumberFormat="1">
      <alignment horizontal="right" vertical="bottom"/>
    </xf>
    <xf borderId="118" fillId="0" fontId="9" numFmtId="0" xfId="0" applyBorder="1" applyFont="1"/>
    <xf borderId="41" fillId="0" fontId="5" numFmtId="165" xfId="0" applyAlignment="1" applyBorder="1" applyFont="1" applyNumberFormat="1">
      <alignment horizontal="right" vertical="bottom"/>
    </xf>
    <xf borderId="44" fillId="0" fontId="9" numFmtId="0" xfId="0" applyBorder="1" applyFont="1"/>
    <xf borderId="50" fillId="0" fontId="1" numFmtId="0" xfId="0" applyAlignment="1" applyBorder="1" applyFont="1">
      <alignment horizontal="right"/>
    </xf>
    <xf borderId="41" fillId="5" fontId="5" numFmtId="165" xfId="0" applyAlignment="1" applyBorder="1" applyFill="1" applyFont="1" applyNumberFormat="1">
      <alignment horizontal="right" readingOrder="0" vertical="bottom"/>
    </xf>
    <xf borderId="119" fillId="0" fontId="4" numFmtId="1" xfId="0" applyAlignment="1" applyBorder="1" applyFont="1" applyNumberFormat="1">
      <alignment horizontal="right"/>
    </xf>
    <xf borderId="47" fillId="0" fontId="4" numFmtId="0" xfId="0" applyAlignment="1" applyBorder="1" applyFont="1">
      <alignment horizontal="center" vertical="bottom"/>
    </xf>
    <xf borderId="44" fillId="7" fontId="6" numFmtId="165" xfId="0" applyAlignment="1" applyBorder="1" applyFill="1" applyFont="1" applyNumberFormat="1">
      <alignment horizontal="right"/>
    </xf>
    <xf borderId="88" fillId="9" fontId="9" numFmtId="165" xfId="0" applyAlignment="1" applyBorder="1" applyFill="1" applyFont="1" applyNumberFormat="1">
      <alignment vertical="bottom"/>
    </xf>
    <xf borderId="47" fillId="0" fontId="4" numFmtId="164" xfId="0" applyAlignment="1" applyBorder="1" applyFont="1" applyNumberFormat="1">
      <alignment horizontal="center" vertical="bottom"/>
    </xf>
    <xf borderId="50" fillId="0" fontId="5" numFmtId="9" xfId="0" applyAlignment="1" applyBorder="1" applyFont="1" applyNumberFormat="1">
      <alignment horizontal="right"/>
    </xf>
    <xf borderId="88" fillId="0" fontId="4" numFmtId="0" xfId="0" applyAlignment="1" applyBorder="1" applyFont="1">
      <alignment horizontal="center" vertical="bottom"/>
    </xf>
    <xf borderId="44" fillId="0" fontId="5" numFmtId="165" xfId="0" applyAlignment="1" applyBorder="1" applyFont="1" applyNumberFormat="1">
      <alignment horizontal="right"/>
    </xf>
    <xf borderId="89" fillId="0" fontId="9" numFmtId="0" xfId="0" applyAlignment="1" applyBorder="1" applyFont="1">
      <alignment vertical="bottom"/>
    </xf>
    <xf borderId="41" fillId="0" fontId="8" numFmtId="0" xfId="0" applyAlignment="1" applyBorder="1" applyFont="1">
      <alignment vertical="bottom"/>
    </xf>
    <xf borderId="41" fillId="7" fontId="6" numFmtId="165" xfId="0" applyAlignment="1" applyBorder="1" applyFill="1" applyFont="1" applyNumberFormat="1">
      <alignment horizontal="right" vertical="bottom"/>
    </xf>
    <xf borderId="44" fillId="5" fontId="5" numFmtId="165" xfId="0" applyAlignment="1" applyBorder="1" applyFill="1" applyFont="1" applyNumberFormat="1">
      <alignment horizontal="right"/>
    </xf>
    <xf borderId="41" fillId="5" fontId="5" numFmtId="165" xfId="0" applyAlignment="1" applyBorder="1" applyFill="1" applyFont="1" applyNumberFormat="1">
      <alignment horizontal="right" vertical="bottom"/>
    </xf>
    <xf borderId="50" fillId="0" fontId="9" numFmtId="0" xfId="0" applyBorder="1" applyFont="1"/>
    <xf borderId="120" fillId="9" fontId="9" numFmtId="165" xfId="0" applyBorder="1" applyFill="1" applyFont="1" applyNumberFormat="1"/>
    <xf borderId="118" fillId="0" fontId="8" numFmtId="0" xfId="0" applyAlignment="1" applyBorder="1" applyFont="1">
      <alignment vertical="bottom"/>
    </xf>
    <xf borderId="50" fillId="0" fontId="4" numFmtId="164" xfId="0" applyAlignment="1" applyBorder="1" applyFont="1" applyNumberFormat="1">
      <alignment horizontal="center"/>
    </xf>
    <xf borderId="44" fillId="0" fontId="8" numFmtId="0" xfId="0" applyAlignment="1" applyBorder="1" applyFont="1">
      <alignment vertical="bottom"/>
    </xf>
    <xf borderId="120" fillId="0" fontId="4" numFmtId="10" xfId="0" applyAlignment="1" applyBorder="1" applyFont="1" applyNumberFormat="1">
      <alignment horizontal="center" readingOrder="0"/>
    </xf>
    <xf borderId="119" fillId="0" fontId="1" numFmtId="0" xfId="0" applyAlignment="1" applyBorder="1" applyFont="1">
      <alignment readingOrder="0" vertical="bottom"/>
    </xf>
    <xf borderId="44" fillId="7" fontId="6" numFmtId="165" xfId="0" applyAlignment="1" applyBorder="1" applyFill="1" applyFont="1" applyNumberFormat="1">
      <alignment horizontal="right" vertical="bottom"/>
    </xf>
    <xf borderId="35" fillId="0" fontId="8" numFmtId="0" xfId="0" applyBorder="1" applyFont="1"/>
    <xf borderId="50" fillId="0" fontId="5" numFmtId="9" xfId="0" applyAlignment="1" applyBorder="1" applyFont="1" applyNumberFormat="1">
      <alignment horizontal="right" vertical="bottom"/>
    </xf>
    <xf borderId="121" fillId="0" fontId="9" numFmtId="0" xfId="0" applyBorder="1" applyFont="1"/>
    <xf borderId="44" fillId="0" fontId="5" numFmtId="165" xfId="0" applyAlignment="1" applyBorder="1" applyFont="1" applyNumberFormat="1">
      <alignment horizontal="right" vertical="bottom"/>
    </xf>
    <xf borderId="44" fillId="5" fontId="5" numFmtId="165" xfId="0" applyAlignment="1" applyBorder="1" applyFill="1" applyFont="1" applyNumberFormat="1">
      <alignment horizontal="right" vertical="bottom"/>
    </xf>
    <xf borderId="50" fillId="0" fontId="4" numFmtId="0" xfId="0" applyAlignment="1" applyBorder="1" applyFont="1">
      <alignment horizontal="center" vertical="bottom"/>
    </xf>
    <xf borderId="120" fillId="9" fontId="9" numFmtId="165" xfId="0" applyAlignment="1" applyBorder="1" applyFill="1" applyFont="1" applyNumberFormat="1">
      <alignment vertical="bottom"/>
    </xf>
    <xf borderId="50" fillId="0" fontId="4" numFmtId="164" xfId="0" applyAlignment="1" applyBorder="1" applyFont="1" applyNumberFormat="1">
      <alignment horizontal="center" vertical="bottom"/>
    </xf>
    <xf borderId="120" fillId="0" fontId="4" numFmtId="0" xfId="0" applyAlignment="1" applyBorder="1" applyFont="1">
      <alignment horizontal="center" vertical="bottom"/>
    </xf>
    <xf borderId="121" fillId="0" fontId="9" numFmtId="0" xfId="0" applyAlignment="1" applyBorder="1" applyFont="1">
      <alignment vertical="bottom"/>
    </xf>
    <xf borderId="44" fillId="0" fontId="8" numFmtId="0" xfId="0" applyAlignment="1" applyBorder="1" applyFont="1">
      <alignment readingOrder="0" vertical="bottom"/>
    </xf>
    <xf borderId="44" fillId="5" fontId="5" numFmtId="165" xfId="0" applyAlignment="1" applyBorder="1" applyFill="1" applyFont="1" applyNumberFormat="1">
      <alignment horizontal="right" readingOrder="0" vertical="bottom"/>
    </xf>
    <xf borderId="44" fillId="7" fontId="6" numFmtId="165" xfId="0" applyAlignment="1" applyBorder="1" applyFill="1" applyFont="1" applyNumberFormat="1">
      <alignment horizontal="right" readingOrder="0" vertical="bottom"/>
    </xf>
    <xf borderId="115" fillId="0" fontId="8" numFmtId="0" xfId="0" applyAlignment="1" applyBorder="1" applyFont="1">
      <alignment readingOrder="0"/>
    </xf>
    <xf borderId="97" fillId="7" fontId="6" numFmtId="165" xfId="0" applyAlignment="1" applyBorder="1" applyFill="1" applyFont="1" applyNumberFormat="1">
      <alignment horizontal="right"/>
    </xf>
    <xf borderId="97" fillId="5" fontId="6" numFmtId="165" xfId="0" applyAlignment="1" applyBorder="1" applyFill="1" applyFont="1" applyNumberFormat="1">
      <alignment horizontal="right"/>
    </xf>
    <xf borderId="116" fillId="0" fontId="4" numFmtId="0" xfId="0" applyAlignment="1" applyBorder="1" applyFont="1">
      <alignment horizontal="center"/>
    </xf>
    <xf borderId="115" fillId="0" fontId="9" numFmtId="0" xfId="0" applyBorder="1" applyFont="1"/>
    <xf borderId="120" fillId="0" fontId="4" numFmtId="0" xfId="0" applyAlignment="1" applyBorder="1" applyFont="1">
      <alignment horizontal="center"/>
    </xf>
    <xf borderId="93" fillId="0" fontId="6" numFmtId="1" xfId="0" applyAlignment="1" applyBorder="1" applyFont="1" applyNumberFormat="1">
      <alignment horizontal="right" readingOrder="0" vertical="center"/>
    </xf>
    <xf borderId="41" fillId="0" fontId="8" numFmtId="0" xfId="0" applyAlignment="1" applyBorder="1" applyFont="1">
      <alignment readingOrder="0"/>
    </xf>
    <xf borderId="118" fillId="0" fontId="8" numFmtId="0" xfId="0" applyBorder="1" applyFont="1"/>
    <xf borderId="44" fillId="0" fontId="8" numFmtId="0" xfId="0" applyBorder="1" applyFont="1"/>
    <xf borderId="119" fillId="0" fontId="1" numFmtId="0" xfId="0" applyAlignment="1" applyBorder="1" applyFont="1">
      <alignment readingOrder="0"/>
    </xf>
    <xf borderId="71" fillId="0" fontId="6" numFmtId="1" xfId="0" applyAlignment="1" applyBorder="1" applyFont="1" applyNumberFormat="1">
      <alignment horizontal="right" readingOrder="0" vertical="center"/>
    </xf>
    <xf borderId="50" fillId="0" fontId="4" numFmtId="0" xfId="0" applyAlignment="1" applyBorder="1" applyFont="1">
      <alignment horizontal="center"/>
    </xf>
    <xf borderId="44" fillId="5" fontId="5" numFmtId="165" xfId="0" applyAlignment="1" applyBorder="1" applyFill="1" applyFont="1" applyNumberFormat="1">
      <alignment horizontal="right" readingOrder="0"/>
    </xf>
    <xf borderId="121" fillId="0" fontId="9" numFmtId="0" xfId="0" applyAlignment="1" applyBorder="1" applyFont="1">
      <alignment readingOrder="0"/>
    </xf>
    <xf borderId="42" fillId="0" fontId="14" numFmtId="0" xfId="0" applyAlignment="1" applyBorder="1" applyFont="1">
      <alignment readingOrder="0" vertical="center"/>
    </xf>
    <xf borderId="44" fillId="0" fontId="8" numFmtId="0" xfId="0" applyAlignment="1" applyBorder="1" applyFont="1">
      <alignment readingOrder="0"/>
    </xf>
    <xf borderId="50" fillId="0" fontId="4" numFmtId="0" xfId="0" applyAlignment="1" applyBorder="1" applyFont="1">
      <alignment horizontal="center" readingOrder="0"/>
    </xf>
    <xf borderId="47" fillId="0" fontId="4" numFmtId="0" xfId="0" applyAlignment="1" applyBorder="1" applyFont="1">
      <alignment horizontal="center" readingOrder="0"/>
    </xf>
    <xf borderId="42" fillId="0" fontId="8" numFmtId="0" xfId="0" applyBorder="1" applyFont="1"/>
    <xf borderId="47" fillId="0" fontId="1" numFmtId="0" xfId="0" applyAlignment="1" applyBorder="1" applyFont="1">
      <alignment readingOrder="0"/>
    </xf>
    <xf borderId="87" fillId="0" fontId="6" numFmtId="1" xfId="0" applyAlignment="1" applyBorder="1" applyFont="1" applyNumberFormat="1">
      <alignment horizontal="right" readingOrder="0"/>
    </xf>
    <xf borderId="41" fillId="5" fontId="6" numFmtId="165" xfId="0" applyAlignment="1" applyBorder="1" applyFill="1" applyFont="1" applyNumberFormat="1">
      <alignment horizontal="right" readingOrder="0"/>
    </xf>
    <xf borderId="47" fillId="0" fontId="9" numFmtId="0" xfId="0" applyAlignment="1" applyBorder="1" applyFont="1">
      <alignment readingOrder="0"/>
    </xf>
    <xf borderId="35" fillId="0" fontId="8" numFmtId="0" xfId="0" applyAlignment="1" applyBorder="1" applyFont="1">
      <alignment readingOrder="0"/>
    </xf>
    <xf borderId="119" fillId="0" fontId="4" numFmtId="1" xfId="0" applyAlignment="1" applyBorder="1" applyFont="1" applyNumberFormat="1">
      <alignment horizontal="right" readingOrder="0"/>
    </xf>
    <xf borderId="29" fillId="7" fontId="5" numFmtId="165" xfId="0" applyAlignment="1" applyBorder="1" applyFill="1" applyFont="1" applyNumberFormat="1">
      <alignment readingOrder="0" vertical="center"/>
    </xf>
    <xf borderId="44" fillId="7" fontId="5" numFmtId="165" xfId="0" applyAlignment="1" applyBorder="1" applyFill="1" applyFont="1" applyNumberFormat="1">
      <alignment horizontal="right"/>
    </xf>
    <xf borderId="120" fillId="0" fontId="4" numFmtId="10" xfId="0" applyAlignment="1" applyBorder="1" applyFont="1" applyNumberFormat="1">
      <alignment horizontal="center"/>
    </xf>
    <xf borderId="44" fillId="7" fontId="5" numFmtId="165" xfId="0" applyAlignment="1" applyBorder="1" applyFill="1" applyFont="1" applyNumberFormat="1">
      <alignment horizontal="right" readingOrder="0"/>
    </xf>
    <xf borderId="122" fillId="0" fontId="1" numFmtId="0" xfId="0" applyAlignment="1" applyBorder="1" applyFont="1">
      <alignment readingOrder="0" vertical="center"/>
    </xf>
    <xf borderId="42" fillId="0" fontId="9" numFmtId="0" xfId="0" applyBorder="1" applyFont="1"/>
    <xf borderId="123" fillId="0" fontId="15" numFmtId="0" xfId="0" applyAlignment="1" applyBorder="1" applyFont="1">
      <alignment readingOrder="0" shrinkToFit="0" vertical="bottom" wrapText="0"/>
    </xf>
    <xf borderId="35" fillId="0" fontId="9" numFmtId="0" xfId="0" applyBorder="1" applyFont="1"/>
    <xf borderId="42" fillId="0" fontId="16" numFmtId="0" xfId="0" applyAlignment="1" applyBorder="1" applyFont="1">
      <alignment readingOrder="0" vertical="center"/>
    </xf>
    <xf borderId="123" fillId="0" fontId="15" numFmtId="0" xfId="0" applyAlignment="1" applyBorder="1" applyFont="1">
      <alignment shrinkToFit="0" vertical="bottom" wrapText="0"/>
    </xf>
    <xf borderId="41" fillId="7" fontId="6" numFmtId="165" xfId="0" applyAlignment="1" applyBorder="1" applyFill="1" applyFont="1" applyNumberFormat="1">
      <alignment readingOrder="0" vertical="center"/>
    </xf>
    <xf borderId="87" fillId="0" fontId="9" numFmtId="0" xfId="0" applyBorder="1" applyFont="1"/>
    <xf borderId="124" fillId="0" fontId="15" numFmtId="0" xfId="0" applyAlignment="1" applyBorder="1" applyFont="1">
      <alignment readingOrder="0" vertical="bottom"/>
    </xf>
    <xf borderId="47" fillId="0" fontId="4" numFmtId="0" xfId="0" applyAlignment="1" applyBorder="1" applyFont="1">
      <alignment horizontal="center" readingOrder="0" vertical="bottom"/>
    </xf>
    <xf borderId="87" fillId="0" fontId="6" numFmtId="1" xfId="0" applyAlignment="1" applyBorder="1" applyFont="1" applyNumberFormat="1">
      <alignment horizontal="right"/>
    </xf>
    <xf borderId="41" fillId="5" fontId="6" numFmtId="165" xfId="0" applyAlignment="1" applyBorder="1" applyFill="1" applyFont="1" applyNumberFormat="1">
      <alignment horizontal="right"/>
    </xf>
    <xf borderId="47" fillId="0" fontId="9" numFmtId="0" xfId="0" applyBorder="1" applyFont="1"/>
  </cellXfs>
  <cellStyles count="1">
    <cellStyle xfId="0" name="Normal" builtinId="0"/>
  </cellStyles>
  <dxfs count="1">
    <dxf>
      <font>
        <u/>
        <color rgb="FF85200C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 Parròquia Menjar i Beure" id="{891e7a17-03fa-4ad3-b0fc-ab9a82d408bc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0-03-21T13:36:15.00" personId="{891e7a17-03fa-4ad3-b0fc-ab9a82d408bc}" id="{b5dfdfb4-1f64-4899-b496-b1cbdab8a98a}" done="1">
    <x18tc:text xml:space="preserve">Hi que posar una quantitat, mínim 1.</x18tc:text>
  </x18tc:threadedComment>
  <x18tc:threadedComment ref="J2" dT="2020-03-21T13:37:12.00" personId="{891e7a17-03fa-4ad3-b0fc-ab9a82d408bc}" id="{12a6bb2d-cc24-4060-8326-3c2f4b3a6b7e}" done="1">
    <x18tc:text xml:space="preserve">Unitats per pack. Mínim, 1</x18tc:text>
  </x18tc:threadedComment>
  <x18tc:threadedComment ref="F1" dT="2020-03-21T13:28:25.00" personId="{891e7a17-03fa-4ad3-b0fc-ab9a82d408bc}" id="{88ab8a38-abf6-4040-ae6f-d1eab0250fdd}" done="1">
    <x18tc:text xml:space="preserve">Calculadora de Packs.</x18tc:text>
  </x18tc:threadedComment>
  <x18tc:threadedComment ref="I1" dT="2020-03-21T13:40:09.00" personId="{891e7a17-03fa-4ad3-b0fc-ab9a82d408bc}" id="{f62b7710-533a-42b6-8a44-6e60cff6cbe1}" done="1">
    <x18tc:text xml:space="preserve">Preu sense IVA. Per Unitat.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odogin.com/licores/649-anis-seco-cazalla-cervero-1l.html" TargetMode="External"/><Relationship Id="rId5" Type="http://schemas.openxmlformats.org/officeDocument/2006/relationships/hyperlink" Target="http://palomatenis.es/shop/index.php?route=product/product&amp;product_id=42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2.88"/>
    <col customWidth="1" min="4" max="4" width="5.0"/>
    <col customWidth="1" min="5" max="5" width="7.63"/>
    <col customWidth="1" min="6" max="6" width="5.88" outlineLevel="1"/>
    <col customWidth="1" min="7" max="9" width="7.63" outlineLevel="1"/>
    <col customWidth="1" min="10" max="11" width="6.38" outlineLevel="1"/>
    <col customWidth="1" min="12" max="13" width="7.63" outlineLevel="1"/>
    <col customWidth="1" min="14" max="15" width="8.88" outlineLevel="1"/>
    <col customWidth="1" min="16" max="16" width="16.38" outlineLevel="1"/>
  </cols>
  <sheetData>
    <row r="1" outlineLevel="1">
      <c r="A1" s="1"/>
      <c r="C1" s="2" t="s">
        <v>11</v>
      </c>
      <c r="E1" s="9"/>
      <c r="F1" s="3" t="s">
        <v>1</v>
      </c>
      <c r="G1" s="4" t="s">
        <v>2</v>
      </c>
      <c r="H1" s="4" t="s">
        <v>3</v>
      </c>
      <c r="I1" s="5" t="s">
        <v>4</v>
      </c>
      <c r="J1" s="4" t="s">
        <v>5</v>
      </c>
      <c r="K1" s="4" t="s">
        <v>7</v>
      </c>
      <c r="L1" s="4" t="s">
        <v>8</v>
      </c>
      <c r="M1" s="4" t="s">
        <v>9</v>
      </c>
      <c r="N1" s="6" t="s">
        <v>10</v>
      </c>
      <c r="P1" s="4" t="s">
        <v>8</v>
      </c>
    </row>
    <row r="2" outlineLevel="1">
      <c r="E2" s="7">
        <v>0.21</v>
      </c>
      <c r="F2" s="7">
        <v>0.052</v>
      </c>
      <c r="G2" s="8">
        <v>1.0</v>
      </c>
      <c r="H2" s="10">
        <f>I2+(I2*L2)+(I2*M2)</f>
        <v>12.1</v>
      </c>
      <c r="I2" s="14">
        <v>10.0</v>
      </c>
      <c r="J2" s="12">
        <v>1.0</v>
      </c>
      <c r="K2" s="13">
        <f>G2*J2*I2</f>
        <v>10</v>
      </c>
      <c r="L2" s="15">
        <v>0.21</v>
      </c>
      <c r="M2" s="16">
        <v>0.0</v>
      </c>
      <c r="N2" s="17" t="s">
        <v>12</v>
      </c>
      <c r="O2" s="18">
        <v>10.0</v>
      </c>
      <c r="P2" s="19">
        <v>0.1</v>
      </c>
    </row>
    <row r="3" ht="15.75" customHeight="1" outlineLevel="1">
      <c r="A3" s="20"/>
      <c r="B3" s="20"/>
      <c r="C3" s="20"/>
      <c r="D3" s="20"/>
      <c r="E3" s="7">
        <v>0.1</v>
      </c>
      <c r="F3" s="7">
        <v>0.014</v>
      </c>
      <c r="G3" s="21"/>
      <c r="H3" s="10">
        <f>I3+(I3*L2)+(I3*M2)</f>
        <v>12.1</v>
      </c>
      <c r="I3" s="27">
        <f>K3/(G2*J2)</f>
        <v>10</v>
      </c>
      <c r="J3" s="23"/>
      <c r="K3" s="24">
        <v>10.0</v>
      </c>
      <c r="L3" s="25"/>
      <c r="M3" s="26"/>
      <c r="N3" s="28" t="s">
        <v>4</v>
      </c>
      <c r="O3" s="30">
        <f>O2/E4</f>
        <v>9.090909091</v>
      </c>
      <c r="P3" s="33">
        <f>O3</f>
        <v>9.090909091</v>
      </c>
    </row>
    <row r="4" ht="5.25" customHeight="1" outlineLevel="1">
      <c r="A4" s="32"/>
      <c r="B4" s="32"/>
      <c r="C4" s="34"/>
      <c r="D4" s="34"/>
      <c r="E4" s="35">
        <f>IFS($P$2=21%,1.21,$P$2=10%,1.1)</f>
        <v>1.1</v>
      </c>
      <c r="F4" s="35">
        <v>0.0</v>
      </c>
      <c r="G4" s="36"/>
      <c r="H4" s="36"/>
      <c r="I4" s="36"/>
      <c r="J4" s="36"/>
      <c r="K4" s="36"/>
      <c r="L4" s="36"/>
      <c r="M4" s="36"/>
      <c r="N4" s="36"/>
      <c r="O4" s="36"/>
      <c r="P4" s="36"/>
    </row>
    <row r="5">
      <c r="A5" s="37" t="s">
        <v>13</v>
      </c>
      <c r="B5" s="38"/>
      <c r="C5" s="39" t="s">
        <v>11</v>
      </c>
      <c r="D5" s="41" t="s">
        <v>14</v>
      </c>
      <c r="E5" s="40" t="s">
        <v>12</v>
      </c>
      <c r="F5" s="42" t="s">
        <v>15</v>
      </c>
      <c r="G5" s="43"/>
      <c r="H5" s="44" t="s">
        <v>16</v>
      </c>
      <c r="I5" s="45" t="s">
        <v>17</v>
      </c>
      <c r="J5" s="46" t="s">
        <v>18</v>
      </c>
      <c r="K5" s="41" t="s">
        <v>19</v>
      </c>
      <c r="L5" s="47" t="s">
        <v>8</v>
      </c>
      <c r="M5" s="48" t="s">
        <v>20</v>
      </c>
      <c r="N5" s="47" t="s">
        <v>21</v>
      </c>
      <c r="O5" s="49"/>
      <c r="P5" s="47" t="s">
        <v>22</v>
      </c>
    </row>
    <row r="6">
      <c r="A6" s="41" t="s">
        <v>23</v>
      </c>
      <c r="B6" s="41" t="s">
        <v>24</v>
      </c>
      <c r="C6" s="41" t="s">
        <v>25</v>
      </c>
      <c r="D6" s="50"/>
      <c r="E6" s="51"/>
      <c r="F6" s="52" t="s">
        <v>27</v>
      </c>
      <c r="G6" s="41" t="s">
        <v>28</v>
      </c>
      <c r="H6" s="44" t="s">
        <v>29</v>
      </c>
      <c r="I6" s="53" t="s">
        <v>30</v>
      </c>
      <c r="J6" s="46" t="s">
        <v>32</v>
      </c>
      <c r="K6" s="41" t="s">
        <v>32</v>
      </c>
      <c r="L6" s="54"/>
      <c r="M6" s="48" t="s">
        <v>9</v>
      </c>
      <c r="N6" s="54"/>
      <c r="O6" s="49"/>
      <c r="P6" s="54"/>
    </row>
    <row r="7">
      <c r="A7" s="55" t="s">
        <v>33</v>
      </c>
      <c r="B7" s="56" t="s">
        <v>35</v>
      </c>
      <c r="C7" s="64" t="s">
        <v>42</v>
      </c>
      <c r="D7" s="65">
        <v>15.0</v>
      </c>
      <c r="E7" s="67">
        <v>1.5</v>
      </c>
      <c r="F7" s="66">
        <f t="shared" ref="F7:F124" si="1">G7/E7</f>
        <v>0.7029333333</v>
      </c>
      <c r="G7" s="70">
        <f t="shared" ref="G7:G399" si="2">E7-H7</f>
        <v>1.0544</v>
      </c>
      <c r="H7" s="70">
        <f t="shared" ref="H7:H399" si="3">I7+(I7*L7)+(I7*M7)</f>
        <v>0.4456</v>
      </c>
      <c r="I7" s="77">
        <f t="shared" ref="I7:I52" si="4">K7/J7</f>
        <v>0.4</v>
      </c>
      <c r="J7" s="78">
        <v>1.0</v>
      </c>
      <c r="K7" s="80">
        <v>0.4</v>
      </c>
      <c r="L7" s="84">
        <v>0.1</v>
      </c>
      <c r="M7" s="87">
        <v>0.014</v>
      </c>
      <c r="N7" s="88"/>
      <c r="O7" s="90"/>
      <c r="P7" s="91"/>
    </row>
    <row r="8">
      <c r="A8" s="55" t="s">
        <v>33</v>
      </c>
      <c r="B8" s="56" t="s">
        <v>35</v>
      </c>
      <c r="C8" s="64" t="s">
        <v>44</v>
      </c>
      <c r="D8" s="65">
        <v>15.0</v>
      </c>
      <c r="E8" s="67">
        <v>1.5</v>
      </c>
      <c r="F8" s="66">
        <f t="shared" si="1"/>
        <v>0.7029333333</v>
      </c>
      <c r="G8" s="70">
        <f t="shared" si="2"/>
        <v>1.0544</v>
      </c>
      <c r="H8" s="70">
        <f t="shared" si="3"/>
        <v>0.4456</v>
      </c>
      <c r="I8" s="77">
        <f t="shared" si="4"/>
        <v>0.4</v>
      </c>
      <c r="J8" s="78">
        <v>1.0</v>
      </c>
      <c r="K8" s="80">
        <v>0.4</v>
      </c>
      <c r="L8" s="84">
        <v>0.1</v>
      </c>
      <c r="M8" s="87">
        <v>0.014</v>
      </c>
      <c r="N8" s="88"/>
      <c r="O8" s="90"/>
      <c r="P8" s="91"/>
    </row>
    <row r="9">
      <c r="A9" s="55" t="s">
        <v>33</v>
      </c>
      <c r="B9" s="56" t="s">
        <v>35</v>
      </c>
      <c r="C9" s="64" t="s">
        <v>47</v>
      </c>
      <c r="D9" s="65">
        <v>15.0</v>
      </c>
      <c r="E9" s="67">
        <v>1.2</v>
      </c>
      <c r="F9" s="66">
        <f t="shared" si="1"/>
        <v>0.6286666667</v>
      </c>
      <c r="G9" s="70">
        <f t="shared" si="2"/>
        <v>0.7544</v>
      </c>
      <c r="H9" s="70">
        <f t="shared" si="3"/>
        <v>0.4456</v>
      </c>
      <c r="I9" s="77">
        <f t="shared" si="4"/>
        <v>0.4</v>
      </c>
      <c r="J9" s="78">
        <v>1.0</v>
      </c>
      <c r="K9" s="80">
        <v>0.4</v>
      </c>
      <c r="L9" s="84">
        <v>0.1</v>
      </c>
      <c r="M9" s="87">
        <v>0.014</v>
      </c>
      <c r="N9" s="88"/>
      <c r="O9" s="90"/>
      <c r="P9" s="91"/>
    </row>
    <row r="10">
      <c r="A10" s="55" t="s">
        <v>33</v>
      </c>
      <c r="B10" s="56" t="s">
        <v>35</v>
      </c>
      <c r="C10" s="64" t="s">
        <v>52</v>
      </c>
      <c r="D10" s="65">
        <v>15.0</v>
      </c>
      <c r="E10" s="67">
        <v>3.0</v>
      </c>
      <c r="F10" s="66">
        <f t="shared" si="1"/>
        <v>0.8514666667</v>
      </c>
      <c r="G10" s="70">
        <f t="shared" si="2"/>
        <v>2.5544</v>
      </c>
      <c r="H10" s="70">
        <f t="shared" si="3"/>
        <v>0.4456</v>
      </c>
      <c r="I10" s="77">
        <f t="shared" si="4"/>
        <v>0.4</v>
      </c>
      <c r="J10" s="78">
        <v>1.0</v>
      </c>
      <c r="K10" s="80">
        <v>0.4</v>
      </c>
      <c r="L10" s="84">
        <v>0.1</v>
      </c>
      <c r="M10" s="87">
        <v>0.014</v>
      </c>
      <c r="N10" s="88"/>
      <c r="O10" s="90"/>
      <c r="P10" s="91"/>
    </row>
    <row r="11">
      <c r="A11" s="55" t="s">
        <v>33</v>
      </c>
      <c r="B11" s="56" t="s">
        <v>35</v>
      </c>
      <c r="C11" s="64" t="s">
        <v>56</v>
      </c>
      <c r="D11" s="65">
        <v>10.0</v>
      </c>
      <c r="E11" s="67">
        <v>1.1</v>
      </c>
      <c r="F11" s="66">
        <f t="shared" si="1"/>
        <v>0.5949090909</v>
      </c>
      <c r="G11" s="70">
        <f t="shared" si="2"/>
        <v>0.6544</v>
      </c>
      <c r="H11" s="70">
        <f t="shared" si="3"/>
        <v>0.4456</v>
      </c>
      <c r="I11" s="77">
        <f t="shared" si="4"/>
        <v>0.4</v>
      </c>
      <c r="J11" s="78">
        <v>1.0</v>
      </c>
      <c r="K11" s="80">
        <v>0.4</v>
      </c>
      <c r="L11" s="84">
        <v>0.1</v>
      </c>
      <c r="M11" s="87">
        <v>0.014</v>
      </c>
      <c r="N11" s="88"/>
      <c r="O11" s="90"/>
      <c r="P11" s="91"/>
    </row>
    <row r="12">
      <c r="A12" s="55" t="s">
        <v>33</v>
      </c>
      <c r="B12" s="56" t="s">
        <v>35</v>
      </c>
      <c r="C12" s="64" t="s">
        <v>57</v>
      </c>
      <c r="D12" s="65">
        <v>15.0</v>
      </c>
      <c r="E12" s="67">
        <v>1.3</v>
      </c>
      <c r="F12" s="66">
        <f t="shared" si="1"/>
        <v>0.6572307692</v>
      </c>
      <c r="G12" s="70">
        <f t="shared" si="2"/>
        <v>0.8544</v>
      </c>
      <c r="H12" s="70">
        <f t="shared" si="3"/>
        <v>0.4456</v>
      </c>
      <c r="I12" s="77">
        <f t="shared" si="4"/>
        <v>0.4</v>
      </c>
      <c r="J12" s="78">
        <v>1.0</v>
      </c>
      <c r="K12" s="80">
        <v>0.4</v>
      </c>
      <c r="L12" s="84">
        <v>0.1</v>
      </c>
      <c r="M12" s="87">
        <v>0.014</v>
      </c>
      <c r="N12" s="88"/>
      <c r="O12" s="90"/>
      <c r="P12" s="91"/>
    </row>
    <row r="13">
      <c r="A13" s="55" t="s">
        <v>33</v>
      </c>
      <c r="B13" s="56" t="s">
        <v>35</v>
      </c>
      <c r="C13" s="64" t="s">
        <v>61</v>
      </c>
      <c r="D13" s="65">
        <v>15.0</v>
      </c>
      <c r="E13" s="67">
        <v>3.0</v>
      </c>
      <c r="F13" s="66">
        <f t="shared" si="1"/>
        <v>0.8514666667</v>
      </c>
      <c r="G13" s="70">
        <f t="shared" si="2"/>
        <v>2.5544</v>
      </c>
      <c r="H13" s="70">
        <f t="shared" si="3"/>
        <v>0.4456</v>
      </c>
      <c r="I13" s="77">
        <f t="shared" si="4"/>
        <v>0.4</v>
      </c>
      <c r="J13" s="78">
        <v>1.0</v>
      </c>
      <c r="K13" s="80">
        <v>0.4</v>
      </c>
      <c r="L13" s="84">
        <v>0.1</v>
      </c>
      <c r="M13" s="87">
        <v>0.014</v>
      </c>
      <c r="N13" s="88"/>
      <c r="O13" s="90"/>
      <c r="P13" s="91"/>
    </row>
    <row r="14">
      <c r="A14" s="55" t="s">
        <v>33</v>
      </c>
      <c r="B14" s="56" t="s">
        <v>35</v>
      </c>
      <c r="C14" s="64" t="s">
        <v>63</v>
      </c>
      <c r="D14" s="65">
        <v>15.0</v>
      </c>
      <c r="E14" s="67">
        <v>2.0</v>
      </c>
      <c r="F14" s="66">
        <f t="shared" si="1"/>
        <v>0.7772</v>
      </c>
      <c r="G14" s="70">
        <f t="shared" si="2"/>
        <v>1.5544</v>
      </c>
      <c r="H14" s="70">
        <f t="shared" si="3"/>
        <v>0.4456</v>
      </c>
      <c r="I14" s="77">
        <f t="shared" si="4"/>
        <v>0.4</v>
      </c>
      <c r="J14" s="78">
        <v>1.0</v>
      </c>
      <c r="K14" s="80">
        <v>0.4</v>
      </c>
      <c r="L14" s="84">
        <v>0.1</v>
      </c>
      <c r="M14" s="87">
        <v>0.014</v>
      </c>
      <c r="N14" s="88"/>
      <c r="O14" s="90"/>
      <c r="P14" s="91"/>
    </row>
    <row r="15">
      <c r="A15" s="55" t="s">
        <v>33</v>
      </c>
      <c r="B15" s="56" t="s">
        <v>35</v>
      </c>
      <c r="C15" s="64" t="s">
        <v>65</v>
      </c>
      <c r="D15" s="65">
        <v>15.0</v>
      </c>
      <c r="E15" s="67">
        <v>2.0</v>
      </c>
      <c r="F15" s="66">
        <f t="shared" si="1"/>
        <v>0.7772</v>
      </c>
      <c r="G15" s="70">
        <f t="shared" si="2"/>
        <v>1.5544</v>
      </c>
      <c r="H15" s="70">
        <f t="shared" si="3"/>
        <v>0.4456</v>
      </c>
      <c r="I15" s="77">
        <f t="shared" si="4"/>
        <v>0.4</v>
      </c>
      <c r="J15" s="78">
        <v>1.0</v>
      </c>
      <c r="K15" s="80">
        <v>0.4</v>
      </c>
      <c r="L15" s="84">
        <v>0.1</v>
      </c>
      <c r="M15" s="87">
        <v>0.014</v>
      </c>
      <c r="N15" s="88"/>
      <c r="O15" s="90"/>
      <c r="P15" s="91"/>
    </row>
    <row r="16">
      <c r="A16" s="55" t="s">
        <v>33</v>
      </c>
      <c r="B16" s="56" t="s">
        <v>35</v>
      </c>
      <c r="C16" s="64" t="s">
        <v>68</v>
      </c>
      <c r="D16" s="65">
        <v>33.0</v>
      </c>
      <c r="E16" s="67">
        <v>2.0</v>
      </c>
      <c r="F16" s="66">
        <f t="shared" si="1"/>
        <v>0.7772</v>
      </c>
      <c r="G16" s="70">
        <f t="shared" si="2"/>
        <v>1.5544</v>
      </c>
      <c r="H16" s="70">
        <f t="shared" si="3"/>
        <v>0.4456</v>
      </c>
      <c r="I16" s="77">
        <f t="shared" si="4"/>
        <v>0.4</v>
      </c>
      <c r="J16" s="78">
        <v>1.0</v>
      </c>
      <c r="K16" s="80">
        <v>0.4</v>
      </c>
      <c r="L16" s="84">
        <v>0.1</v>
      </c>
      <c r="M16" s="87">
        <v>0.014</v>
      </c>
      <c r="N16" s="88"/>
      <c r="O16" s="90"/>
      <c r="P16" s="91"/>
    </row>
    <row r="17">
      <c r="A17" s="55"/>
      <c r="B17" s="56"/>
      <c r="C17" s="124" t="s">
        <v>72</v>
      </c>
      <c r="D17" s="65">
        <v>20.0</v>
      </c>
      <c r="E17" s="67">
        <v>1.5</v>
      </c>
      <c r="F17" s="66">
        <f t="shared" si="1"/>
        <v>0.7772</v>
      </c>
      <c r="G17" s="70">
        <f t="shared" si="2"/>
        <v>1.1658</v>
      </c>
      <c r="H17" s="70">
        <f t="shared" si="3"/>
        <v>0.3342</v>
      </c>
      <c r="I17" s="77">
        <f t="shared" si="4"/>
        <v>0.3</v>
      </c>
      <c r="J17" s="78">
        <v>1.0</v>
      </c>
      <c r="K17" s="80">
        <v>0.3</v>
      </c>
      <c r="L17" s="84">
        <v>0.1</v>
      </c>
      <c r="M17" s="87">
        <v>0.014</v>
      </c>
      <c r="N17" s="88"/>
      <c r="O17" s="90"/>
      <c r="P17" s="91"/>
    </row>
    <row r="18">
      <c r="A18" s="55" t="s">
        <v>33</v>
      </c>
      <c r="B18" s="56" t="s">
        <v>35</v>
      </c>
      <c r="C18" s="64" t="s">
        <v>76</v>
      </c>
      <c r="D18" s="65">
        <v>15.0</v>
      </c>
      <c r="E18" s="67">
        <v>1.2</v>
      </c>
      <c r="F18" s="66">
        <f t="shared" si="1"/>
        <v>0.6286666667</v>
      </c>
      <c r="G18" s="70">
        <f t="shared" si="2"/>
        <v>0.7544</v>
      </c>
      <c r="H18" s="70">
        <f t="shared" si="3"/>
        <v>0.4456</v>
      </c>
      <c r="I18" s="77">
        <f t="shared" si="4"/>
        <v>0.4</v>
      </c>
      <c r="J18" s="78">
        <v>1.0</v>
      </c>
      <c r="K18" s="80">
        <v>0.4</v>
      </c>
      <c r="L18" s="84">
        <v>0.1</v>
      </c>
      <c r="M18" s="87">
        <v>0.014</v>
      </c>
      <c r="N18" s="88"/>
      <c r="O18" s="90"/>
      <c r="P18" s="91"/>
    </row>
    <row r="19">
      <c r="A19" s="55" t="s">
        <v>33</v>
      </c>
      <c r="B19" s="56" t="s">
        <v>35</v>
      </c>
      <c r="C19" s="64" t="s">
        <v>80</v>
      </c>
      <c r="D19" s="65">
        <v>15.0</v>
      </c>
      <c r="E19" s="67">
        <v>1.5</v>
      </c>
      <c r="F19" s="66">
        <f t="shared" si="1"/>
        <v>0.7029333333</v>
      </c>
      <c r="G19" s="70">
        <f t="shared" si="2"/>
        <v>1.0544</v>
      </c>
      <c r="H19" s="70">
        <f t="shared" si="3"/>
        <v>0.4456</v>
      </c>
      <c r="I19" s="77">
        <f t="shared" si="4"/>
        <v>0.4</v>
      </c>
      <c r="J19" s="78">
        <v>1.0</v>
      </c>
      <c r="K19" s="80">
        <v>0.4</v>
      </c>
      <c r="L19" s="84">
        <v>0.1</v>
      </c>
      <c r="M19" s="87">
        <v>0.014</v>
      </c>
      <c r="N19" s="88"/>
      <c r="O19" s="90"/>
      <c r="P19" s="91"/>
    </row>
    <row r="20">
      <c r="A20" s="55" t="s">
        <v>33</v>
      </c>
      <c r="B20" s="56" t="s">
        <v>35</v>
      </c>
      <c r="C20" s="64" t="s">
        <v>82</v>
      </c>
      <c r="D20" s="65">
        <v>33.0</v>
      </c>
      <c r="E20" s="67">
        <v>1.5</v>
      </c>
      <c r="F20" s="66">
        <f t="shared" si="1"/>
        <v>0.3835866667</v>
      </c>
      <c r="G20" s="70">
        <f t="shared" si="2"/>
        <v>0.57538</v>
      </c>
      <c r="H20" s="70">
        <f t="shared" si="3"/>
        <v>0.92462</v>
      </c>
      <c r="I20" s="77">
        <f t="shared" si="4"/>
        <v>0.83</v>
      </c>
      <c r="J20" s="78">
        <v>1.0</v>
      </c>
      <c r="K20" s="80">
        <v>0.83</v>
      </c>
      <c r="L20" s="84">
        <v>0.1</v>
      </c>
      <c r="M20" s="87">
        <v>0.014</v>
      </c>
      <c r="N20" s="88"/>
      <c r="O20" s="90"/>
      <c r="P20" s="91"/>
    </row>
    <row r="21">
      <c r="A21" s="128"/>
      <c r="B21" s="129"/>
      <c r="C21" s="130" t="s">
        <v>89</v>
      </c>
      <c r="D21" s="131">
        <v>20.0</v>
      </c>
      <c r="E21" s="132">
        <v>1.0</v>
      </c>
      <c r="F21" s="133">
        <f t="shared" si="1"/>
        <v>0.07538</v>
      </c>
      <c r="G21" s="134">
        <f t="shared" si="2"/>
        <v>0.07538</v>
      </c>
      <c r="H21" s="134">
        <f t="shared" si="3"/>
        <v>0.92462</v>
      </c>
      <c r="I21" s="118">
        <f t="shared" si="4"/>
        <v>0.83</v>
      </c>
      <c r="J21" s="135">
        <v>1.0</v>
      </c>
      <c r="K21" s="136">
        <v>0.83</v>
      </c>
      <c r="L21" s="137">
        <v>0.1</v>
      </c>
      <c r="M21" s="138">
        <v>0.014</v>
      </c>
      <c r="N21" s="139"/>
      <c r="O21" s="140"/>
      <c r="P21" s="141"/>
    </row>
    <row r="22">
      <c r="A22" s="142" t="s">
        <v>101</v>
      </c>
      <c r="B22" s="143" t="s">
        <v>102</v>
      </c>
      <c r="C22" s="144" t="s">
        <v>103</v>
      </c>
      <c r="D22" s="145">
        <v>150.0</v>
      </c>
      <c r="E22" s="146">
        <v>2.0</v>
      </c>
      <c r="F22" s="147">
        <f t="shared" si="1"/>
        <v>0.80505</v>
      </c>
      <c r="G22" s="148">
        <f t="shared" si="2"/>
        <v>1.6101</v>
      </c>
      <c r="H22" s="148">
        <f t="shared" si="3"/>
        <v>0.3899</v>
      </c>
      <c r="I22" s="72">
        <f t="shared" si="4"/>
        <v>0.35</v>
      </c>
      <c r="J22" s="149">
        <v>15.0</v>
      </c>
      <c r="K22" s="150">
        <v>5.25</v>
      </c>
      <c r="L22" s="151">
        <v>0.1</v>
      </c>
      <c r="M22" s="152">
        <v>0.014</v>
      </c>
      <c r="N22" s="153" t="s">
        <v>109</v>
      </c>
      <c r="O22" s="154"/>
      <c r="P22" s="155">
        <v>4.73</v>
      </c>
    </row>
    <row r="23">
      <c r="A23" s="142" t="s">
        <v>101</v>
      </c>
      <c r="B23" s="143" t="s">
        <v>102</v>
      </c>
      <c r="C23" s="144" t="s">
        <v>103</v>
      </c>
      <c r="D23" s="145">
        <v>150.0</v>
      </c>
      <c r="E23" s="146">
        <v>2.0</v>
      </c>
      <c r="F23" s="147">
        <f t="shared" si="1"/>
        <v>0.86075</v>
      </c>
      <c r="G23" s="148">
        <f t="shared" si="2"/>
        <v>1.7215</v>
      </c>
      <c r="H23" s="148">
        <f t="shared" si="3"/>
        <v>0.2785</v>
      </c>
      <c r="I23" s="72">
        <f t="shared" si="4"/>
        <v>0.25</v>
      </c>
      <c r="J23" s="149">
        <v>6.0</v>
      </c>
      <c r="K23" s="150">
        <v>1.5</v>
      </c>
      <c r="L23" s="151">
        <v>0.1</v>
      </c>
      <c r="M23" s="152">
        <v>0.014</v>
      </c>
      <c r="N23" s="153" t="s">
        <v>116</v>
      </c>
      <c r="O23" s="154"/>
      <c r="P23" s="155">
        <v>1.2</v>
      </c>
    </row>
    <row r="24">
      <c r="A24" s="94" t="s">
        <v>101</v>
      </c>
      <c r="B24" s="96" t="s">
        <v>102</v>
      </c>
      <c r="C24" s="58" t="s">
        <v>117</v>
      </c>
      <c r="D24" s="126">
        <v>33.0</v>
      </c>
      <c r="E24" s="60">
        <v>1.0</v>
      </c>
      <c r="F24" s="98">
        <f t="shared" si="1"/>
        <v>0.6760116667</v>
      </c>
      <c r="G24" s="68">
        <f t="shared" si="2"/>
        <v>0.6760116667</v>
      </c>
      <c r="H24" s="68">
        <f t="shared" si="3"/>
        <v>0.3239883333</v>
      </c>
      <c r="I24" s="72">
        <f t="shared" si="4"/>
        <v>0.2908333333</v>
      </c>
      <c r="J24" s="73">
        <v>24.0</v>
      </c>
      <c r="K24" s="74">
        <v>6.98</v>
      </c>
      <c r="L24" s="75">
        <v>0.1</v>
      </c>
      <c r="M24" s="127">
        <v>0.014</v>
      </c>
      <c r="N24" s="79" t="s">
        <v>109</v>
      </c>
      <c r="O24" s="82"/>
      <c r="P24" s="156">
        <v>6.16</v>
      </c>
    </row>
    <row r="25">
      <c r="A25" s="94" t="s">
        <v>101</v>
      </c>
      <c r="B25" s="96" t="s">
        <v>102</v>
      </c>
      <c r="C25" s="58" t="s">
        <v>117</v>
      </c>
      <c r="D25" s="126">
        <v>33.0</v>
      </c>
      <c r="E25" s="60">
        <v>1.0</v>
      </c>
      <c r="F25" s="98">
        <f t="shared" si="1"/>
        <v>0.6430558333</v>
      </c>
      <c r="G25" s="68">
        <f t="shared" si="2"/>
        <v>0.6430558333</v>
      </c>
      <c r="H25" s="68">
        <f t="shared" si="3"/>
        <v>0.3569441667</v>
      </c>
      <c r="I25" s="72">
        <f t="shared" si="4"/>
        <v>0.3204166667</v>
      </c>
      <c r="J25" s="73">
        <v>24.0</v>
      </c>
      <c r="K25" s="74">
        <v>7.69</v>
      </c>
      <c r="L25" s="75">
        <v>0.1</v>
      </c>
      <c r="M25" s="127">
        <v>0.014</v>
      </c>
      <c r="N25" s="79" t="s">
        <v>126</v>
      </c>
      <c r="O25" s="82"/>
      <c r="P25" s="156"/>
    </row>
    <row r="26">
      <c r="A26" s="94" t="s">
        <v>101</v>
      </c>
      <c r="B26" s="96" t="s">
        <v>128</v>
      </c>
      <c r="C26" s="58" t="s">
        <v>129</v>
      </c>
      <c r="D26" s="126">
        <v>25.0</v>
      </c>
      <c r="E26" s="60">
        <v>1.3</v>
      </c>
      <c r="F26" s="98">
        <f t="shared" si="1"/>
        <v>0.6661570513</v>
      </c>
      <c r="G26" s="68">
        <f t="shared" si="2"/>
        <v>0.8660041667</v>
      </c>
      <c r="H26" s="68">
        <f t="shared" si="3"/>
        <v>0.4339958333</v>
      </c>
      <c r="I26" s="72">
        <f t="shared" si="4"/>
        <v>0.3895833333</v>
      </c>
      <c r="J26" s="73">
        <v>24.0</v>
      </c>
      <c r="K26" s="74">
        <v>9.35</v>
      </c>
      <c r="L26" s="75">
        <v>0.1</v>
      </c>
      <c r="M26" s="127">
        <v>0.014</v>
      </c>
      <c r="N26" s="79" t="s">
        <v>131</v>
      </c>
      <c r="O26" s="82"/>
      <c r="P26" s="85"/>
    </row>
    <row r="27">
      <c r="A27" s="94" t="s">
        <v>101</v>
      </c>
      <c r="B27" s="96" t="s">
        <v>128</v>
      </c>
      <c r="C27" s="58" t="s">
        <v>133</v>
      </c>
      <c r="D27" s="126">
        <v>30.0</v>
      </c>
      <c r="E27" s="60">
        <v>1.8</v>
      </c>
      <c r="F27" s="98">
        <f t="shared" si="1"/>
        <v>0.5513055556</v>
      </c>
      <c r="G27" s="68">
        <f t="shared" si="2"/>
        <v>0.99235</v>
      </c>
      <c r="H27" s="68">
        <f t="shared" si="3"/>
        <v>0.80765</v>
      </c>
      <c r="I27" s="72">
        <f t="shared" si="4"/>
        <v>0.725</v>
      </c>
      <c r="J27" s="73">
        <v>24.0</v>
      </c>
      <c r="K27" s="74">
        <v>17.4</v>
      </c>
      <c r="L27" s="75">
        <v>0.1</v>
      </c>
      <c r="M27" s="127">
        <v>0.014</v>
      </c>
      <c r="N27" s="79" t="s">
        <v>136</v>
      </c>
      <c r="O27" s="82"/>
      <c r="P27" s="85"/>
    </row>
    <row r="28">
      <c r="A28" s="94" t="s">
        <v>101</v>
      </c>
      <c r="B28" s="96" t="s">
        <v>137</v>
      </c>
      <c r="C28" s="58" t="s">
        <v>138</v>
      </c>
      <c r="D28" s="126">
        <v>30.0</v>
      </c>
      <c r="E28" s="60">
        <v>1.6</v>
      </c>
      <c r="F28" s="98">
        <f t="shared" si="1"/>
        <v>1</v>
      </c>
      <c r="G28" s="68">
        <f t="shared" si="2"/>
        <v>1.6</v>
      </c>
      <c r="H28" s="68">
        <f t="shared" si="3"/>
        <v>0</v>
      </c>
      <c r="I28" s="72">
        <f t="shared" si="4"/>
        <v>0</v>
      </c>
      <c r="J28" s="73">
        <v>1.0</v>
      </c>
      <c r="K28" s="74"/>
      <c r="L28" s="75">
        <v>0.1</v>
      </c>
      <c r="M28" s="127">
        <v>0.014</v>
      </c>
      <c r="N28" s="79"/>
      <c r="O28" s="82"/>
      <c r="P28" s="85"/>
    </row>
    <row r="29">
      <c r="A29" s="94" t="s">
        <v>101</v>
      </c>
      <c r="B29" s="96" t="s">
        <v>137</v>
      </c>
      <c r="C29" s="58" t="s">
        <v>144</v>
      </c>
      <c r="D29" s="126">
        <v>33.0</v>
      </c>
      <c r="E29" s="60">
        <v>1.5</v>
      </c>
      <c r="F29" s="98">
        <f t="shared" si="1"/>
        <v>0.49102</v>
      </c>
      <c r="G29" s="68">
        <f t="shared" si="2"/>
        <v>0.73653</v>
      </c>
      <c r="H29" s="68">
        <f t="shared" si="3"/>
        <v>0.76347</v>
      </c>
      <c r="I29" s="72">
        <f t="shared" si="4"/>
        <v>0.62375</v>
      </c>
      <c r="J29" s="73">
        <v>24.0</v>
      </c>
      <c r="K29" s="74">
        <v>14.97</v>
      </c>
      <c r="L29" s="75">
        <v>0.21</v>
      </c>
      <c r="M29" s="127">
        <v>0.014</v>
      </c>
      <c r="N29" s="79" t="s">
        <v>147</v>
      </c>
      <c r="O29" s="82"/>
      <c r="P29" s="85"/>
    </row>
    <row r="30">
      <c r="A30" s="94" t="s">
        <v>101</v>
      </c>
      <c r="B30" s="96" t="s">
        <v>137</v>
      </c>
      <c r="C30" s="58" t="s">
        <v>148</v>
      </c>
      <c r="D30" s="126">
        <v>30.0</v>
      </c>
      <c r="E30" s="60">
        <v>1.6</v>
      </c>
      <c r="F30" s="98">
        <f t="shared" si="1"/>
        <v>1</v>
      </c>
      <c r="G30" s="68">
        <f t="shared" si="2"/>
        <v>1.6</v>
      </c>
      <c r="H30" s="68">
        <f t="shared" si="3"/>
        <v>0</v>
      </c>
      <c r="I30" s="72">
        <f t="shared" si="4"/>
        <v>0</v>
      </c>
      <c r="J30" s="73">
        <v>1.0</v>
      </c>
      <c r="K30" s="74"/>
      <c r="L30" s="75">
        <v>0.21</v>
      </c>
      <c r="M30" s="127">
        <v>0.014</v>
      </c>
      <c r="N30" s="79"/>
      <c r="O30" s="82"/>
      <c r="P30" s="85"/>
    </row>
    <row r="31">
      <c r="A31" s="94" t="s">
        <v>101</v>
      </c>
      <c r="B31" s="96" t="s">
        <v>137</v>
      </c>
      <c r="C31" s="58" t="s">
        <v>153</v>
      </c>
      <c r="D31" s="126">
        <v>30.0</v>
      </c>
      <c r="E31" s="60">
        <v>1.5</v>
      </c>
      <c r="F31" s="98">
        <f t="shared" si="1"/>
        <v>0.49102</v>
      </c>
      <c r="G31" s="68">
        <f t="shared" si="2"/>
        <v>0.73653</v>
      </c>
      <c r="H31" s="68">
        <f t="shared" si="3"/>
        <v>0.76347</v>
      </c>
      <c r="I31" s="72">
        <f t="shared" si="4"/>
        <v>0.62375</v>
      </c>
      <c r="J31" s="73">
        <v>24.0</v>
      </c>
      <c r="K31" s="74">
        <v>14.97</v>
      </c>
      <c r="L31" s="75">
        <v>0.21</v>
      </c>
      <c r="M31" s="127">
        <v>0.014</v>
      </c>
      <c r="N31" s="79" t="s">
        <v>147</v>
      </c>
      <c r="O31" s="82"/>
      <c r="P31" s="85"/>
    </row>
    <row r="32">
      <c r="A32" s="94" t="s">
        <v>101</v>
      </c>
      <c r="B32" s="96" t="s">
        <v>137</v>
      </c>
      <c r="C32" s="58" t="s">
        <v>156</v>
      </c>
      <c r="D32" s="126">
        <v>25.0</v>
      </c>
      <c r="E32" s="60">
        <v>1.5</v>
      </c>
      <c r="F32" s="98">
        <f t="shared" si="1"/>
        <v>1</v>
      </c>
      <c r="G32" s="68">
        <f t="shared" si="2"/>
        <v>1.5</v>
      </c>
      <c r="H32" s="68">
        <f t="shared" si="3"/>
        <v>0</v>
      </c>
      <c r="I32" s="72">
        <f t="shared" si="4"/>
        <v>0</v>
      </c>
      <c r="J32" s="73">
        <v>1.0</v>
      </c>
      <c r="K32" s="74"/>
      <c r="L32" s="75">
        <v>0.1</v>
      </c>
      <c r="M32" s="127">
        <v>0.014</v>
      </c>
      <c r="N32" s="79"/>
      <c r="O32" s="82"/>
      <c r="P32" s="85"/>
    </row>
    <row r="33">
      <c r="A33" s="94" t="s">
        <v>101</v>
      </c>
      <c r="B33" s="96" t="s">
        <v>137</v>
      </c>
      <c r="C33" s="58" t="s">
        <v>161</v>
      </c>
      <c r="D33" s="126">
        <v>25.0</v>
      </c>
      <c r="E33" s="60">
        <v>1.5</v>
      </c>
      <c r="F33" s="98">
        <f t="shared" si="1"/>
        <v>0.4300033333</v>
      </c>
      <c r="G33" s="68">
        <f t="shared" si="2"/>
        <v>0.645005</v>
      </c>
      <c r="H33" s="68">
        <f t="shared" si="3"/>
        <v>0.854995</v>
      </c>
      <c r="I33" s="72">
        <f t="shared" si="4"/>
        <v>0.7675</v>
      </c>
      <c r="J33" s="73">
        <v>24.0</v>
      </c>
      <c r="K33" s="74">
        <v>18.42</v>
      </c>
      <c r="L33" s="75">
        <v>0.1</v>
      </c>
      <c r="M33" s="127">
        <v>0.014</v>
      </c>
      <c r="N33" s="79" t="s">
        <v>165</v>
      </c>
      <c r="O33" s="82"/>
      <c r="P33" s="85"/>
    </row>
    <row r="34">
      <c r="A34" s="94" t="s">
        <v>101</v>
      </c>
      <c r="B34" s="96" t="s">
        <v>137</v>
      </c>
      <c r="C34" s="58" t="s">
        <v>168</v>
      </c>
      <c r="D34" s="126">
        <v>20.0</v>
      </c>
      <c r="E34" s="60">
        <v>1.5</v>
      </c>
      <c r="F34" s="98">
        <f t="shared" si="1"/>
        <v>0.4553777778</v>
      </c>
      <c r="G34" s="68">
        <f t="shared" si="2"/>
        <v>0.6830666667</v>
      </c>
      <c r="H34" s="68">
        <f t="shared" si="3"/>
        <v>0.8169333333</v>
      </c>
      <c r="I34" s="72">
        <f t="shared" si="4"/>
        <v>0.7333333333</v>
      </c>
      <c r="J34" s="73">
        <v>24.0</v>
      </c>
      <c r="K34" s="74">
        <v>17.6</v>
      </c>
      <c r="L34" s="75">
        <v>0.1</v>
      </c>
      <c r="M34" s="127">
        <v>0.014</v>
      </c>
      <c r="N34" s="79" t="s">
        <v>147</v>
      </c>
      <c r="O34" s="82"/>
      <c r="P34" s="85"/>
    </row>
    <row r="35">
      <c r="A35" s="94" t="s">
        <v>101</v>
      </c>
      <c r="B35" s="96" t="s">
        <v>137</v>
      </c>
      <c r="C35" s="58" t="s">
        <v>172</v>
      </c>
      <c r="D35" s="126">
        <v>35.0</v>
      </c>
      <c r="E35" s="60">
        <v>1.6</v>
      </c>
      <c r="F35" s="98">
        <f t="shared" si="1"/>
        <v>0.1296875</v>
      </c>
      <c r="G35" s="68">
        <f t="shared" si="2"/>
        <v>0.2075</v>
      </c>
      <c r="H35" s="68">
        <f t="shared" si="3"/>
        <v>1.3925</v>
      </c>
      <c r="I35" s="72">
        <f t="shared" si="4"/>
        <v>1.25</v>
      </c>
      <c r="J35" s="73">
        <v>6.0</v>
      </c>
      <c r="K35" s="74">
        <v>7.5</v>
      </c>
      <c r="L35" s="75">
        <v>0.1</v>
      </c>
      <c r="M35" s="127">
        <v>0.014</v>
      </c>
      <c r="N35" s="79" t="s">
        <v>147</v>
      </c>
      <c r="O35" s="82"/>
      <c r="P35" s="85"/>
    </row>
    <row r="36">
      <c r="A36" s="94" t="s">
        <v>101</v>
      </c>
      <c r="B36" s="96" t="s">
        <v>137</v>
      </c>
      <c r="C36" s="58" t="s">
        <v>176</v>
      </c>
      <c r="D36" s="126">
        <v>33.0</v>
      </c>
      <c r="E36" s="60">
        <v>1.5</v>
      </c>
      <c r="F36" s="98">
        <f t="shared" si="1"/>
        <v>0.48388</v>
      </c>
      <c r="G36" s="68">
        <f t="shared" si="2"/>
        <v>0.72582</v>
      </c>
      <c r="H36" s="68">
        <f t="shared" si="3"/>
        <v>0.77418</v>
      </c>
      <c r="I36" s="72">
        <f t="shared" si="4"/>
        <v>0.6325</v>
      </c>
      <c r="J36" s="73">
        <v>24.0</v>
      </c>
      <c r="K36" s="74">
        <v>15.18</v>
      </c>
      <c r="L36" s="75">
        <v>0.21</v>
      </c>
      <c r="M36" s="127">
        <v>0.014</v>
      </c>
      <c r="N36" s="79" t="s">
        <v>147</v>
      </c>
      <c r="O36" s="82"/>
      <c r="P36" s="85"/>
    </row>
    <row r="37">
      <c r="A37" s="94" t="s">
        <v>101</v>
      </c>
      <c r="B37" s="96" t="s">
        <v>137</v>
      </c>
      <c r="C37" s="58" t="s">
        <v>180</v>
      </c>
      <c r="D37" s="126">
        <v>33.0</v>
      </c>
      <c r="E37" s="60">
        <v>1.5</v>
      </c>
      <c r="F37" s="98">
        <f t="shared" si="1"/>
        <v>0.7029333333</v>
      </c>
      <c r="G37" s="68">
        <f t="shared" si="2"/>
        <v>1.0544</v>
      </c>
      <c r="H37" s="68">
        <f t="shared" si="3"/>
        <v>0.4456</v>
      </c>
      <c r="I37" s="72">
        <f t="shared" si="4"/>
        <v>0.4</v>
      </c>
      <c r="J37" s="73">
        <v>12.0</v>
      </c>
      <c r="K37" s="74">
        <v>4.8</v>
      </c>
      <c r="L37" s="75">
        <v>0.1</v>
      </c>
      <c r="M37" s="127">
        <v>0.014</v>
      </c>
      <c r="N37" s="79"/>
      <c r="O37" s="82"/>
      <c r="P37" s="85" t="s">
        <v>184</v>
      </c>
    </row>
    <row r="38">
      <c r="A38" s="94" t="s">
        <v>101</v>
      </c>
      <c r="B38" s="96" t="s">
        <v>137</v>
      </c>
      <c r="C38" s="58" t="s">
        <v>187</v>
      </c>
      <c r="D38" s="126">
        <v>33.0</v>
      </c>
      <c r="E38" s="60">
        <v>1.5</v>
      </c>
      <c r="F38" s="98">
        <f t="shared" si="1"/>
        <v>0.5302633333</v>
      </c>
      <c r="G38" s="68">
        <f t="shared" si="2"/>
        <v>0.795395</v>
      </c>
      <c r="H38" s="68">
        <f t="shared" si="3"/>
        <v>0.704605</v>
      </c>
      <c r="I38" s="72">
        <f t="shared" si="4"/>
        <v>0.6325</v>
      </c>
      <c r="J38" s="73">
        <v>24.0</v>
      </c>
      <c r="K38" s="74">
        <v>15.18</v>
      </c>
      <c r="L38" s="75">
        <v>0.1</v>
      </c>
      <c r="M38" s="127">
        <v>0.014</v>
      </c>
      <c r="N38" s="79" t="s">
        <v>147</v>
      </c>
      <c r="O38" s="82"/>
      <c r="P38" s="85"/>
    </row>
    <row r="39">
      <c r="A39" s="94" t="s">
        <v>101</v>
      </c>
      <c r="B39" s="96" t="s">
        <v>137</v>
      </c>
      <c r="C39" s="58" t="s">
        <v>190</v>
      </c>
      <c r="D39" s="126">
        <v>20.0</v>
      </c>
      <c r="E39" s="60">
        <v>1.5</v>
      </c>
      <c r="F39" s="98">
        <f t="shared" si="1"/>
        <v>0.5448072222</v>
      </c>
      <c r="G39" s="68">
        <f t="shared" si="2"/>
        <v>0.8172108333</v>
      </c>
      <c r="H39" s="68">
        <f t="shared" si="3"/>
        <v>0.6827891667</v>
      </c>
      <c r="I39" s="72">
        <f t="shared" si="4"/>
        <v>0.6129166667</v>
      </c>
      <c r="J39" s="73">
        <v>24.0</v>
      </c>
      <c r="K39" s="74">
        <v>14.71</v>
      </c>
      <c r="L39" s="75">
        <v>0.1</v>
      </c>
      <c r="M39" s="127">
        <v>0.014</v>
      </c>
      <c r="N39" s="79" t="s">
        <v>147</v>
      </c>
      <c r="O39" s="82"/>
      <c r="P39" s="85"/>
    </row>
    <row r="40">
      <c r="A40" s="94" t="s">
        <v>101</v>
      </c>
      <c r="B40" s="96" t="s">
        <v>137</v>
      </c>
      <c r="C40" s="58" t="s">
        <v>195</v>
      </c>
      <c r="D40" s="126">
        <v>33.0</v>
      </c>
      <c r="E40" s="60">
        <v>1.5</v>
      </c>
      <c r="F40" s="98">
        <f t="shared" si="1"/>
        <v>0.42072</v>
      </c>
      <c r="G40" s="68">
        <f t="shared" si="2"/>
        <v>0.63108</v>
      </c>
      <c r="H40" s="68">
        <f t="shared" si="3"/>
        <v>0.86892</v>
      </c>
      <c r="I40" s="72">
        <f t="shared" si="4"/>
        <v>0.78</v>
      </c>
      <c r="J40" s="73">
        <v>24.0</v>
      </c>
      <c r="K40" s="74">
        <v>18.72</v>
      </c>
      <c r="L40" s="75">
        <v>0.1</v>
      </c>
      <c r="M40" s="127">
        <v>0.014</v>
      </c>
      <c r="N40" s="79" t="s">
        <v>147</v>
      </c>
      <c r="O40" s="82"/>
      <c r="P40" s="85"/>
    </row>
    <row r="41">
      <c r="A41" s="94" t="s">
        <v>101</v>
      </c>
      <c r="B41" s="96" t="s">
        <v>137</v>
      </c>
      <c r="C41" s="58" t="s">
        <v>199</v>
      </c>
      <c r="D41" s="126">
        <v>33.0</v>
      </c>
      <c r="E41" s="60">
        <v>1.5</v>
      </c>
      <c r="F41" s="98">
        <f t="shared" si="1"/>
        <v>0.5995788889</v>
      </c>
      <c r="G41" s="68">
        <f t="shared" si="2"/>
        <v>0.8993683333</v>
      </c>
      <c r="H41" s="68">
        <f t="shared" si="3"/>
        <v>0.6006316667</v>
      </c>
      <c r="I41" s="72">
        <f t="shared" si="4"/>
        <v>0.5391666667</v>
      </c>
      <c r="J41" s="73">
        <v>24.0</v>
      </c>
      <c r="K41" s="74">
        <v>12.94</v>
      </c>
      <c r="L41" s="75">
        <v>0.1</v>
      </c>
      <c r="M41" s="127">
        <v>0.014</v>
      </c>
      <c r="N41" s="79" t="s">
        <v>147</v>
      </c>
      <c r="O41" s="82"/>
      <c r="P41" s="85" t="s">
        <v>204</v>
      </c>
    </row>
    <row r="42">
      <c r="A42" s="94" t="s">
        <v>101</v>
      </c>
      <c r="B42" s="96" t="s">
        <v>205</v>
      </c>
      <c r="C42" s="58" t="s">
        <v>206</v>
      </c>
      <c r="D42" s="126">
        <v>33.0</v>
      </c>
      <c r="E42" s="60">
        <v>1.5</v>
      </c>
      <c r="F42" s="98">
        <f t="shared" si="1"/>
        <v>0.2115355556</v>
      </c>
      <c r="G42" s="68">
        <f t="shared" si="2"/>
        <v>0.3173033333</v>
      </c>
      <c r="H42" s="68">
        <f t="shared" si="3"/>
        <v>1.182696667</v>
      </c>
      <c r="I42" s="72">
        <f t="shared" si="4"/>
        <v>1.061666667</v>
      </c>
      <c r="J42" s="73">
        <v>12.0</v>
      </c>
      <c r="K42" s="74">
        <v>12.74</v>
      </c>
      <c r="L42" s="75">
        <v>0.1</v>
      </c>
      <c r="M42" s="127">
        <v>0.014</v>
      </c>
      <c r="N42" s="79" t="s">
        <v>136</v>
      </c>
      <c r="O42" s="82"/>
      <c r="P42" s="85"/>
    </row>
    <row r="43">
      <c r="A43" s="94" t="s">
        <v>101</v>
      </c>
      <c r="B43" s="96" t="s">
        <v>205</v>
      </c>
      <c r="C43" s="58" t="s">
        <v>206</v>
      </c>
      <c r="D43" s="126">
        <v>50.0</v>
      </c>
      <c r="E43" s="60">
        <v>2.0</v>
      </c>
      <c r="F43" s="98">
        <f t="shared" si="1"/>
        <v>0.373375</v>
      </c>
      <c r="G43" s="68">
        <f t="shared" si="2"/>
        <v>0.74675</v>
      </c>
      <c r="H43" s="68">
        <f t="shared" si="3"/>
        <v>1.25325</v>
      </c>
      <c r="I43" s="72">
        <f t="shared" si="4"/>
        <v>1.125</v>
      </c>
      <c r="J43" s="73">
        <v>12.0</v>
      </c>
      <c r="K43" s="74">
        <v>13.5</v>
      </c>
      <c r="L43" s="75">
        <v>0.1</v>
      </c>
      <c r="M43" s="127">
        <v>0.014</v>
      </c>
      <c r="N43" s="79" t="s">
        <v>131</v>
      </c>
      <c r="O43" s="82"/>
      <c r="P43" s="85"/>
    </row>
    <row r="44">
      <c r="A44" s="94" t="s">
        <v>101</v>
      </c>
      <c r="B44" s="96" t="s">
        <v>137</v>
      </c>
      <c r="C44" s="58" t="s">
        <v>213</v>
      </c>
      <c r="D44" s="126">
        <v>30.0</v>
      </c>
      <c r="E44" s="60">
        <v>2.0</v>
      </c>
      <c r="F44" s="98">
        <f t="shared" si="1"/>
        <v>0.35388</v>
      </c>
      <c r="G44" s="68">
        <f t="shared" si="2"/>
        <v>0.70776</v>
      </c>
      <c r="H44" s="68">
        <f t="shared" si="3"/>
        <v>1.29224</v>
      </c>
      <c r="I44" s="72">
        <f t="shared" si="4"/>
        <v>1.16</v>
      </c>
      <c r="J44" s="73">
        <v>24.0</v>
      </c>
      <c r="K44" s="74">
        <v>27.84</v>
      </c>
      <c r="L44" s="75">
        <v>0.1</v>
      </c>
      <c r="M44" s="127">
        <v>0.014</v>
      </c>
      <c r="N44" s="79" t="s">
        <v>147</v>
      </c>
      <c r="O44" s="82"/>
      <c r="P44" s="85"/>
    </row>
    <row r="45">
      <c r="A45" s="94" t="s">
        <v>101</v>
      </c>
      <c r="B45" s="96" t="s">
        <v>137</v>
      </c>
      <c r="C45" s="58" t="s">
        <v>216</v>
      </c>
      <c r="D45" s="126">
        <v>33.0</v>
      </c>
      <c r="E45" s="60">
        <v>1.5</v>
      </c>
      <c r="F45" s="98">
        <f t="shared" si="1"/>
        <v>0.5525433333</v>
      </c>
      <c r="G45" s="68">
        <f t="shared" si="2"/>
        <v>0.828815</v>
      </c>
      <c r="H45" s="68">
        <f t="shared" si="3"/>
        <v>0.671185</v>
      </c>
      <c r="I45" s="72">
        <f t="shared" si="4"/>
        <v>0.6025</v>
      </c>
      <c r="J45" s="73">
        <v>24.0</v>
      </c>
      <c r="K45" s="74">
        <v>14.46</v>
      </c>
      <c r="L45" s="75">
        <v>0.1</v>
      </c>
      <c r="M45" s="127">
        <v>0.014</v>
      </c>
      <c r="N45" s="79"/>
      <c r="O45" s="82"/>
      <c r="P45" s="85"/>
    </row>
    <row r="46">
      <c r="A46" s="94" t="s">
        <v>101</v>
      </c>
      <c r="B46" s="96" t="s">
        <v>137</v>
      </c>
      <c r="C46" s="58" t="s">
        <v>219</v>
      </c>
      <c r="D46" s="126">
        <v>30.0</v>
      </c>
      <c r="E46" s="60">
        <v>2.0</v>
      </c>
      <c r="F46" s="98">
        <f t="shared" si="1"/>
        <v>1</v>
      </c>
      <c r="G46" s="68">
        <f t="shared" si="2"/>
        <v>2</v>
      </c>
      <c r="H46" s="68">
        <f t="shared" si="3"/>
        <v>0</v>
      </c>
      <c r="I46" s="72">
        <f t="shared" si="4"/>
        <v>0</v>
      </c>
      <c r="J46" s="73">
        <v>1.0</v>
      </c>
      <c r="K46" s="74"/>
      <c r="L46" s="75">
        <v>0.1</v>
      </c>
      <c r="M46" s="127">
        <v>0.014</v>
      </c>
      <c r="N46" s="79"/>
      <c r="O46" s="82"/>
      <c r="P46" s="85"/>
    </row>
    <row r="47">
      <c r="A47" s="94" t="s">
        <v>101</v>
      </c>
      <c r="B47" s="96" t="s">
        <v>137</v>
      </c>
      <c r="C47" s="58" t="s">
        <v>222</v>
      </c>
      <c r="D47" s="126">
        <v>30.0</v>
      </c>
      <c r="E47" s="60">
        <v>1.5</v>
      </c>
      <c r="F47" s="98">
        <f t="shared" si="1"/>
        <v>1</v>
      </c>
      <c r="G47" s="68">
        <f t="shared" si="2"/>
        <v>1.5</v>
      </c>
      <c r="H47" s="68">
        <f t="shared" si="3"/>
        <v>0</v>
      </c>
      <c r="I47" s="72">
        <f t="shared" si="4"/>
        <v>0</v>
      </c>
      <c r="J47" s="73">
        <v>1.0</v>
      </c>
      <c r="K47" s="74"/>
      <c r="L47" s="75">
        <v>0.1</v>
      </c>
      <c r="M47" s="127">
        <v>0.014</v>
      </c>
      <c r="N47" s="79"/>
      <c r="O47" s="82"/>
      <c r="P47" s="85"/>
    </row>
    <row r="48">
      <c r="A48" s="94" t="s">
        <v>101</v>
      </c>
      <c r="B48" s="96" t="s">
        <v>137</v>
      </c>
      <c r="C48" s="58" t="s">
        <v>233</v>
      </c>
      <c r="D48" s="126">
        <v>30.0</v>
      </c>
      <c r="E48" s="60">
        <v>1.7</v>
      </c>
      <c r="F48" s="98">
        <f t="shared" si="1"/>
        <v>0.2925553922</v>
      </c>
      <c r="G48" s="68">
        <f t="shared" si="2"/>
        <v>0.4973441667</v>
      </c>
      <c r="H48" s="68">
        <f t="shared" si="3"/>
        <v>1.202655833</v>
      </c>
      <c r="I48" s="72">
        <f t="shared" si="4"/>
        <v>1.079583333</v>
      </c>
      <c r="J48" s="73">
        <v>24.0</v>
      </c>
      <c r="K48" s="74">
        <v>25.91</v>
      </c>
      <c r="L48" s="75">
        <v>0.1</v>
      </c>
      <c r="M48" s="127">
        <v>0.014</v>
      </c>
      <c r="N48" s="79" t="s">
        <v>246</v>
      </c>
      <c r="O48" s="82"/>
      <c r="P48" s="156">
        <v>15.8</v>
      </c>
    </row>
    <row r="49">
      <c r="A49" s="94" t="s">
        <v>101</v>
      </c>
      <c r="B49" s="96" t="s">
        <v>137</v>
      </c>
      <c r="C49" s="58" t="s">
        <v>252</v>
      </c>
      <c r="D49" s="126">
        <v>30.0</v>
      </c>
      <c r="E49" s="60">
        <v>1.5</v>
      </c>
      <c r="F49" s="98">
        <f t="shared" si="1"/>
        <v>0.1982294444</v>
      </c>
      <c r="G49" s="68">
        <f t="shared" si="2"/>
        <v>0.2973441667</v>
      </c>
      <c r="H49" s="68">
        <f t="shared" si="3"/>
        <v>1.202655833</v>
      </c>
      <c r="I49" s="72">
        <f t="shared" si="4"/>
        <v>1.079583333</v>
      </c>
      <c r="J49" s="73">
        <v>24.0</v>
      </c>
      <c r="K49" s="74">
        <v>25.91</v>
      </c>
      <c r="L49" s="75">
        <v>0.1</v>
      </c>
      <c r="M49" s="127">
        <v>0.014</v>
      </c>
      <c r="N49" s="79"/>
      <c r="O49" s="82"/>
      <c r="P49" s="85"/>
    </row>
    <row r="50">
      <c r="A50" s="94" t="s">
        <v>101</v>
      </c>
      <c r="B50" s="96" t="s">
        <v>137</v>
      </c>
      <c r="C50" s="58" t="s">
        <v>267</v>
      </c>
      <c r="D50" s="126">
        <v>30.0</v>
      </c>
      <c r="E50" s="60">
        <v>2.0</v>
      </c>
      <c r="F50" s="98">
        <f t="shared" si="1"/>
        <v>1</v>
      </c>
      <c r="G50" s="68">
        <f t="shared" si="2"/>
        <v>2</v>
      </c>
      <c r="H50" s="68">
        <f t="shared" si="3"/>
        <v>0</v>
      </c>
      <c r="I50" s="72">
        <f t="shared" si="4"/>
        <v>0</v>
      </c>
      <c r="J50" s="73">
        <v>1.0</v>
      </c>
      <c r="K50" s="74"/>
      <c r="L50" s="75">
        <v>0.1</v>
      </c>
      <c r="M50" s="127">
        <v>0.014</v>
      </c>
      <c r="N50" s="79"/>
      <c r="O50" s="82"/>
      <c r="P50" s="85"/>
    </row>
    <row r="51">
      <c r="A51" s="94" t="s">
        <v>101</v>
      </c>
      <c r="B51" s="96" t="s">
        <v>137</v>
      </c>
      <c r="C51" s="58" t="s">
        <v>277</v>
      </c>
      <c r="D51" s="126">
        <v>30.0</v>
      </c>
      <c r="E51" s="60">
        <v>1.5</v>
      </c>
      <c r="F51" s="98">
        <f t="shared" si="1"/>
        <v>0.4518707407</v>
      </c>
      <c r="G51" s="68">
        <f t="shared" si="2"/>
        <v>0.6778061111</v>
      </c>
      <c r="H51" s="68">
        <f t="shared" si="3"/>
        <v>0.8221938889</v>
      </c>
      <c r="I51" s="72">
        <f t="shared" si="4"/>
        <v>0.7380555556</v>
      </c>
      <c r="J51" s="73">
        <v>72.0</v>
      </c>
      <c r="K51" s="74">
        <v>53.14</v>
      </c>
      <c r="L51" s="75">
        <v>0.1</v>
      </c>
      <c r="M51" s="127">
        <v>0.014</v>
      </c>
      <c r="N51" s="79" t="s">
        <v>136</v>
      </c>
      <c r="O51" s="82"/>
      <c r="P51" s="85" t="s">
        <v>289</v>
      </c>
    </row>
    <row r="52">
      <c r="A52" s="112" t="s">
        <v>101</v>
      </c>
      <c r="B52" s="113" t="s">
        <v>137</v>
      </c>
      <c r="C52" s="114" t="s">
        <v>293</v>
      </c>
      <c r="D52" s="115">
        <v>33.0</v>
      </c>
      <c r="E52" s="116">
        <v>1.5</v>
      </c>
      <c r="F52" s="179">
        <f t="shared" si="1"/>
        <v>1</v>
      </c>
      <c r="G52" s="117">
        <f t="shared" si="2"/>
        <v>1.5</v>
      </c>
      <c r="H52" s="117">
        <f t="shared" si="3"/>
        <v>0</v>
      </c>
      <c r="I52" s="118">
        <f t="shared" si="4"/>
        <v>0</v>
      </c>
      <c r="J52" s="119">
        <v>1.0</v>
      </c>
      <c r="K52" s="108"/>
      <c r="L52" s="120">
        <v>0.1</v>
      </c>
      <c r="M52" s="121">
        <v>0.014</v>
      </c>
      <c r="N52" s="122"/>
      <c r="O52" s="123"/>
      <c r="P52" s="125"/>
    </row>
    <row r="53">
      <c r="A53" s="181" t="s">
        <v>306</v>
      </c>
      <c r="B53" s="183" t="s">
        <v>309</v>
      </c>
      <c r="C53" s="184" t="s">
        <v>312</v>
      </c>
      <c r="D53" s="185">
        <v>5000.0</v>
      </c>
      <c r="E53" s="187">
        <v>250.0</v>
      </c>
      <c r="F53" s="188">
        <f t="shared" si="1"/>
        <v>0.175748</v>
      </c>
      <c r="G53" s="189">
        <f t="shared" si="2"/>
        <v>43.937</v>
      </c>
      <c r="H53" s="189">
        <f t="shared" si="3"/>
        <v>206.063</v>
      </c>
      <c r="I53" s="191">
        <v>170.3</v>
      </c>
      <c r="J53" s="192">
        <v>1.0</v>
      </c>
      <c r="K53" s="193">
        <v>170.3</v>
      </c>
      <c r="L53" s="194">
        <v>0.21</v>
      </c>
      <c r="M53" s="195">
        <v>0.0</v>
      </c>
      <c r="N53" s="196" t="s">
        <v>136</v>
      </c>
      <c r="O53" s="197"/>
      <c r="P53" s="198">
        <v>100.0</v>
      </c>
    </row>
    <row r="54" outlineLevel="1">
      <c r="A54" s="94"/>
      <c r="B54" s="96"/>
      <c r="C54" s="159" t="s">
        <v>337</v>
      </c>
      <c r="D54" s="126">
        <v>10.0</v>
      </c>
      <c r="E54" s="60">
        <v>1.0</v>
      </c>
      <c r="F54" s="98">
        <f t="shared" si="1"/>
        <v>0.587874</v>
      </c>
      <c r="G54" s="68">
        <f t="shared" si="2"/>
        <v>0.587874</v>
      </c>
      <c r="H54" s="68">
        <f t="shared" si="3"/>
        <v>0.412126</v>
      </c>
      <c r="I54" s="72">
        <f t="shared" ref="I54:I59" si="5">($I$53*D54)/$D$53</f>
        <v>0.3406</v>
      </c>
      <c r="J54" s="73">
        <v>1.0</v>
      </c>
      <c r="K54" s="74">
        <v>170.3</v>
      </c>
      <c r="L54" s="75">
        <v>0.21</v>
      </c>
      <c r="M54" s="76">
        <v>0.0</v>
      </c>
      <c r="N54" s="79" t="s">
        <v>136</v>
      </c>
      <c r="O54" s="82"/>
      <c r="P54" s="85"/>
    </row>
    <row r="55" outlineLevel="1">
      <c r="A55" s="94"/>
      <c r="B55" s="96"/>
      <c r="C55" s="159" t="s">
        <v>349</v>
      </c>
      <c r="D55" s="126">
        <v>20.0</v>
      </c>
      <c r="E55" s="60">
        <v>1.5</v>
      </c>
      <c r="F55" s="98">
        <f t="shared" si="1"/>
        <v>0.4504986667</v>
      </c>
      <c r="G55" s="68">
        <f t="shared" si="2"/>
        <v>0.675748</v>
      </c>
      <c r="H55" s="68">
        <f t="shared" si="3"/>
        <v>0.824252</v>
      </c>
      <c r="I55" s="72">
        <f t="shared" si="5"/>
        <v>0.6812</v>
      </c>
      <c r="J55" s="73">
        <v>250.0</v>
      </c>
      <c r="K55" s="74">
        <v>170.3</v>
      </c>
      <c r="L55" s="75">
        <v>0.21</v>
      </c>
      <c r="M55" s="76">
        <v>0.0</v>
      </c>
      <c r="N55" s="79" t="s">
        <v>136</v>
      </c>
      <c r="O55" s="82"/>
      <c r="P55" s="85"/>
    </row>
    <row r="56" outlineLevel="1">
      <c r="A56" s="94"/>
      <c r="B56" s="96"/>
      <c r="C56" s="159" t="s">
        <v>358</v>
      </c>
      <c r="D56" s="126">
        <v>33.0</v>
      </c>
      <c r="E56" s="60">
        <v>2.0</v>
      </c>
      <c r="F56" s="98">
        <f t="shared" si="1"/>
        <v>0.3199921</v>
      </c>
      <c r="G56" s="68">
        <f t="shared" si="2"/>
        <v>0.6399842</v>
      </c>
      <c r="H56" s="68">
        <f t="shared" si="3"/>
        <v>1.3600158</v>
      </c>
      <c r="I56" s="72">
        <f t="shared" si="5"/>
        <v>1.12398</v>
      </c>
      <c r="J56" s="73">
        <v>150.0</v>
      </c>
      <c r="K56" s="74">
        <v>170.3</v>
      </c>
      <c r="L56" s="75">
        <v>0.21</v>
      </c>
      <c r="M56" s="76">
        <v>0.0</v>
      </c>
      <c r="N56" s="79" t="s">
        <v>136</v>
      </c>
      <c r="O56" s="82"/>
      <c r="P56" s="85"/>
    </row>
    <row r="57" outlineLevel="1">
      <c r="A57" s="94"/>
      <c r="B57" s="96"/>
      <c r="C57" s="159" t="s">
        <v>367</v>
      </c>
      <c r="D57" s="126">
        <v>50.0</v>
      </c>
      <c r="E57" s="60">
        <v>3.0</v>
      </c>
      <c r="F57" s="98">
        <f t="shared" si="1"/>
        <v>0.3131233333</v>
      </c>
      <c r="G57" s="68">
        <f t="shared" si="2"/>
        <v>0.93937</v>
      </c>
      <c r="H57" s="68">
        <f t="shared" si="3"/>
        <v>2.06063</v>
      </c>
      <c r="I57" s="72">
        <f t="shared" si="5"/>
        <v>1.703</v>
      </c>
      <c r="J57" s="73">
        <v>100.0</v>
      </c>
      <c r="K57" s="74">
        <v>170.3</v>
      </c>
      <c r="L57" s="75">
        <v>0.21</v>
      </c>
      <c r="M57" s="76">
        <v>0.0</v>
      </c>
      <c r="N57" s="79" t="s">
        <v>136</v>
      </c>
      <c r="O57" s="82"/>
      <c r="P57" s="85"/>
    </row>
    <row r="58" outlineLevel="1">
      <c r="A58" s="94"/>
      <c r="B58" s="96"/>
      <c r="C58" s="159" t="s">
        <v>376</v>
      </c>
      <c r="D58" s="126">
        <v>100.0</v>
      </c>
      <c r="E58" s="60">
        <v>7.0</v>
      </c>
      <c r="F58" s="98">
        <f t="shared" si="1"/>
        <v>0.4112485714</v>
      </c>
      <c r="G58" s="68">
        <f t="shared" si="2"/>
        <v>2.87874</v>
      </c>
      <c r="H58" s="68">
        <f t="shared" si="3"/>
        <v>4.12126</v>
      </c>
      <c r="I58" s="72">
        <f t="shared" si="5"/>
        <v>3.406</v>
      </c>
      <c r="J58" s="73">
        <v>50.0</v>
      </c>
      <c r="K58" s="74">
        <v>170.3</v>
      </c>
      <c r="L58" s="75">
        <v>0.21</v>
      </c>
      <c r="M58" s="76">
        <v>0.0</v>
      </c>
      <c r="N58" s="79" t="s">
        <v>136</v>
      </c>
      <c r="O58" s="82"/>
      <c r="P58" s="85"/>
    </row>
    <row r="59" outlineLevel="1">
      <c r="A59" s="94"/>
      <c r="B59" s="96"/>
      <c r="C59" s="159" t="s">
        <v>384</v>
      </c>
      <c r="D59" s="126">
        <v>100.0</v>
      </c>
      <c r="E59" s="60">
        <v>7.0</v>
      </c>
      <c r="F59" s="98">
        <f t="shared" si="1"/>
        <v>0.4112485714</v>
      </c>
      <c r="G59" s="68">
        <f t="shared" si="2"/>
        <v>2.87874</v>
      </c>
      <c r="H59" s="68">
        <f t="shared" si="3"/>
        <v>4.12126</v>
      </c>
      <c r="I59" s="72">
        <f t="shared" si="5"/>
        <v>3.406</v>
      </c>
      <c r="J59" s="73">
        <v>50.0</v>
      </c>
      <c r="K59" s="74">
        <v>170.3</v>
      </c>
      <c r="L59" s="75">
        <v>0.21</v>
      </c>
      <c r="M59" s="76">
        <v>0.0</v>
      </c>
      <c r="N59" s="79" t="s">
        <v>136</v>
      </c>
      <c r="O59" s="82"/>
      <c r="P59" s="85"/>
    </row>
    <row r="60">
      <c r="A60" s="94" t="s">
        <v>306</v>
      </c>
      <c r="B60" s="96" t="s">
        <v>309</v>
      </c>
      <c r="C60" s="58" t="s">
        <v>391</v>
      </c>
      <c r="D60" s="126">
        <v>3000.0</v>
      </c>
      <c r="E60" s="60">
        <v>200.0</v>
      </c>
      <c r="F60" s="98">
        <f t="shared" si="1"/>
        <v>0.303376</v>
      </c>
      <c r="G60" s="68">
        <f t="shared" si="2"/>
        <v>60.6752</v>
      </c>
      <c r="H60" s="68">
        <f t="shared" si="3"/>
        <v>139.3248</v>
      </c>
      <c r="I60" s="200">
        <v>110.4</v>
      </c>
      <c r="J60" s="73">
        <v>1.0</v>
      </c>
      <c r="K60" s="74">
        <v>110.4</v>
      </c>
      <c r="L60" s="75">
        <v>0.21</v>
      </c>
      <c r="M60" s="127">
        <v>0.052</v>
      </c>
      <c r="N60" s="79" t="s">
        <v>136</v>
      </c>
      <c r="O60" s="82"/>
      <c r="P60" s="156">
        <v>78.04</v>
      </c>
    </row>
    <row r="61" outlineLevel="1">
      <c r="A61" s="94"/>
      <c r="B61" s="96"/>
      <c r="C61" s="159" t="s">
        <v>337</v>
      </c>
      <c r="D61" s="126">
        <v>10.0</v>
      </c>
      <c r="E61" s="60">
        <v>1.0</v>
      </c>
      <c r="F61" s="98">
        <f t="shared" si="1"/>
        <v>0.535584</v>
      </c>
      <c r="G61" s="68">
        <f t="shared" si="2"/>
        <v>0.535584</v>
      </c>
      <c r="H61" s="68">
        <f t="shared" si="3"/>
        <v>0.464416</v>
      </c>
      <c r="I61" s="72">
        <f t="shared" ref="I61:I66" si="6">($I$60*D61)/$D$60</f>
        <v>0.368</v>
      </c>
      <c r="J61" s="73">
        <v>1.0</v>
      </c>
      <c r="K61" s="74">
        <v>110.4</v>
      </c>
      <c r="L61" s="75">
        <v>0.21</v>
      </c>
      <c r="M61" s="127">
        <v>0.052</v>
      </c>
      <c r="N61" s="79" t="s">
        <v>136</v>
      </c>
      <c r="O61" s="82"/>
      <c r="P61" s="85"/>
    </row>
    <row r="62" outlineLevel="1">
      <c r="A62" s="94"/>
      <c r="B62" s="96"/>
      <c r="C62" s="159" t="s">
        <v>349</v>
      </c>
      <c r="D62" s="126">
        <v>20.0</v>
      </c>
      <c r="E62" s="60">
        <v>1.5</v>
      </c>
      <c r="F62" s="98">
        <f t="shared" si="1"/>
        <v>0.3807786667</v>
      </c>
      <c r="G62" s="68">
        <f t="shared" si="2"/>
        <v>0.571168</v>
      </c>
      <c r="H62" s="68">
        <f t="shared" si="3"/>
        <v>0.928832</v>
      </c>
      <c r="I62" s="72">
        <f t="shared" si="6"/>
        <v>0.736</v>
      </c>
      <c r="J62" s="73">
        <v>150.0</v>
      </c>
      <c r="K62" s="74">
        <v>110.4</v>
      </c>
      <c r="L62" s="75">
        <v>0.21</v>
      </c>
      <c r="M62" s="127">
        <v>0.052</v>
      </c>
      <c r="N62" s="79" t="s">
        <v>136</v>
      </c>
      <c r="O62" s="82"/>
      <c r="P62" s="85"/>
    </row>
    <row r="63" outlineLevel="1">
      <c r="A63" s="94"/>
      <c r="B63" s="96"/>
      <c r="C63" s="159" t="s">
        <v>358</v>
      </c>
      <c r="D63" s="126">
        <v>33.0</v>
      </c>
      <c r="E63" s="60">
        <v>2.2</v>
      </c>
      <c r="F63" s="98">
        <f t="shared" si="1"/>
        <v>0.303376</v>
      </c>
      <c r="G63" s="68">
        <f t="shared" si="2"/>
        <v>0.6674272</v>
      </c>
      <c r="H63" s="68">
        <f t="shared" si="3"/>
        <v>1.5325728</v>
      </c>
      <c r="I63" s="72">
        <f t="shared" si="6"/>
        <v>1.2144</v>
      </c>
      <c r="J63" s="73">
        <v>90.0</v>
      </c>
      <c r="K63" s="74">
        <v>110.4</v>
      </c>
      <c r="L63" s="75">
        <v>0.21</v>
      </c>
      <c r="M63" s="127">
        <v>0.052</v>
      </c>
      <c r="N63" s="79" t="s">
        <v>136</v>
      </c>
      <c r="O63" s="82"/>
      <c r="P63" s="85"/>
    </row>
    <row r="64" outlineLevel="1">
      <c r="A64" s="94"/>
      <c r="B64" s="96"/>
      <c r="C64" s="159" t="s">
        <v>367</v>
      </c>
      <c r="D64" s="126">
        <v>50.0</v>
      </c>
      <c r="E64" s="60">
        <v>3.5</v>
      </c>
      <c r="F64" s="98">
        <f t="shared" si="1"/>
        <v>0.3365485714</v>
      </c>
      <c r="G64" s="68">
        <f t="shared" si="2"/>
        <v>1.17792</v>
      </c>
      <c r="H64" s="68">
        <f t="shared" si="3"/>
        <v>2.32208</v>
      </c>
      <c r="I64" s="72">
        <f t="shared" si="6"/>
        <v>1.84</v>
      </c>
      <c r="J64" s="73">
        <v>60.0</v>
      </c>
      <c r="K64" s="74">
        <v>110.4</v>
      </c>
      <c r="L64" s="75">
        <v>0.21</v>
      </c>
      <c r="M64" s="127">
        <v>0.052</v>
      </c>
      <c r="N64" s="79" t="s">
        <v>136</v>
      </c>
      <c r="O64" s="82"/>
      <c r="P64" s="85"/>
    </row>
    <row r="65" outlineLevel="1">
      <c r="A65" s="94"/>
      <c r="B65" s="96"/>
      <c r="C65" s="159" t="s">
        <v>376</v>
      </c>
      <c r="D65" s="126">
        <v>100.0</v>
      </c>
      <c r="E65" s="60">
        <v>8.0</v>
      </c>
      <c r="F65" s="98">
        <f t="shared" si="1"/>
        <v>0.41948</v>
      </c>
      <c r="G65" s="68">
        <f t="shared" si="2"/>
        <v>3.35584</v>
      </c>
      <c r="H65" s="68">
        <f t="shared" si="3"/>
        <v>4.64416</v>
      </c>
      <c r="I65" s="72">
        <f t="shared" si="6"/>
        <v>3.68</v>
      </c>
      <c r="J65" s="73">
        <v>30.0</v>
      </c>
      <c r="K65" s="74">
        <v>110.4</v>
      </c>
      <c r="L65" s="75">
        <v>0.21</v>
      </c>
      <c r="M65" s="127">
        <v>0.052</v>
      </c>
      <c r="N65" s="79" t="s">
        <v>136</v>
      </c>
      <c r="O65" s="82"/>
      <c r="P65" s="85"/>
    </row>
    <row r="66" outlineLevel="1">
      <c r="A66" s="94"/>
      <c r="B66" s="96"/>
      <c r="C66" s="159" t="s">
        <v>384</v>
      </c>
      <c r="D66" s="126">
        <v>100.0</v>
      </c>
      <c r="E66" s="60">
        <v>8.0</v>
      </c>
      <c r="F66" s="98">
        <f t="shared" si="1"/>
        <v>0.41948</v>
      </c>
      <c r="G66" s="68">
        <f t="shared" si="2"/>
        <v>3.35584</v>
      </c>
      <c r="H66" s="68">
        <f t="shared" si="3"/>
        <v>4.64416</v>
      </c>
      <c r="I66" s="72">
        <f t="shared" si="6"/>
        <v>3.68</v>
      </c>
      <c r="J66" s="73">
        <v>30.0</v>
      </c>
      <c r="K66" s="74">
        <v>110.4</v>
      </c>
      <c r="L66" s="75">
        <v>0.21</v>
      </c>
      <c r="M66" s="127">
        <v>0.052</v>
      </c>
      <c r="N66" s="79" t="s">
        <v>136</v>
      </c>
      <c r="O66" s="82"/>
      <c r="P66" s="85"/>
    </row>
    <row r="67">
      <c r="A67" s="94" t="s">
        <v>306</v>
      </c>
      <c r="B67" s="96" t="s">
        <v>309</v>
      </c>
      <c r="C67" s="58" t="s">
        <v>408</v>
      </c>
      <c r="D67" s="126">
        <v>2000.0</v>
      </c>
      <c r="E67" s="60">
        <v>150.0</v>
      </c>
      <c r="F67" s="98">
        <f t="shared" si="1"/>
        <v>0.3883506667</v>
      </c>
      <c r="G67" s="68">
        <f t="shared" si="2"/>
        <v>58.2526</v>
      </c>
      <c r="H67" s="68">
        <f t="shared" si="3"/>
        <v>91.7474</v>
      </c>
      <c r="I67" s="200">
        <v>72.7</v>
      </c>
      <c r="J67" s="73">
        <v>1.0</v>
      </c>
      <c r="K67" s="74">
        <v>72.7</v>
      </c>
      <c r="L67" s="75">
        <v>0.21</v>
      </c>
      <c r="M67" s="127">
        <v>0.052</v>
      </c>
      <c r="N67" s="79" t="s">
        <v>136</v>
      </c>
      <c r="O67" s="82"/>
      <c r="P67" s="156">
        <v>78.04</v>
      </c>
    </row>
    <row r="68" outlineLevel="1">
      <c r="A68" s="94"/>
      <c r="B68" s="96"/>
      <c r="C68" s="159" t="s">
        <v>337</v>
      </c>
      <c r="D68" s="126">
        <v>10.0</v>
      </c>
      <c r="E68" s="60">
        <v>1.0</v>
      </c>
      <c r="F68" s="98">
        <f t="shared" si="1"/>
        <v>0.535584</v>
      </c>
      <c r="G68" s="68">
        <f t="shared" si="2"/>
        <v>0.535584</v>
      </c>
      <c r="H68" s="68">
        <f t="shared" si="3"/>
        <v>0.464416</v>
      </c>
      <c r="I68" s="72">
        <f t="shared" ref="I68:I73" si="7">($I$60*D68)/$D$60</f>
        <v>0.368</v>
      </c>
      <c r="J68" s="73">
        <v>1.0</v>
      </c>
      <c r="K68" s="74">
        <v>72.7</v>
      </c>
      <c r="L68" s="75">
        <v>0.21</v>
      </c>
      <c r="M68" s="127">
        <v>0.052</v>
      </c>
      <c r="N68" s="79" t="s">
        <v>136</v>
      </c>
      <c r="O68" s="82"/>
      <c r="P68" s="85"/>
    </row>
    <row r="69" outlineLevel="1">
      <c r="A69" s="94"/>
      <c r="B69" s="96"/>
      <c r="C69" s="159" t="s">
        <v>349</v>
      </c>
      <c r="D69" s="126">
        <v>20.0</v>
      </c>
      <c r="E69" s="60">
        <v>1.5</v>
      </c>
      <c r="F69" s="98">
        <f t="shared" si="1"/>
        <v>0.3807786667</v>
      </c>
      <c r="G69" s="68">
        <f t="shared" si="2"/>
        <v>0.571168</v>
      </c>
      <c r="H69" s="68">
        <f t="shared" si="3"/>
        <v>0.928832</v>
      </c>
      <c r="I69" s="72">
        <f t="shared" si="7"/>
        <v>0.736</v>
      </c>
      <c r="J69" s="73">
        <v>150.0</v>
      </c>
      <c r="K69" s="74">
        <v>72.7</v>
      </c>
      <c r="L69" s="75">
        <v>0.21</v>
      </c>
      <c r="M69" s="127">
        <v>0.052</v>
      </c>
      <c r="N69" s="79" t="s">
        <v>136</v>
      </c>
      <c r="O69" s="82"/>
      <c r="P69" s="85"/>
    </row>
    <row r="70" outlineLevel="1">
      <c r="A70" s="94"/>
      <c r="B70" s="96"/>
      <c r="C70" s="159" t="s">
        <v>358</v>
      </c>
      <c r="D70" s="126">
        <v>33.0</v>
      </c>
      <c r="E70" s="60">
        <v>2.2</v>
      </c>
      <c r="F70" s="98">
        <f t="shared" si="1"/>
        <v>0.303376</v>
      </c>
      <c r="G70" s="68">
        <f t="shared" si="2"/>
        <v>0.6674272</v>
      </c>
      <c r="H70" s="68">
        <f t="shared" si="3"/>
        <v>1.5325728</v>
      </c>
      <c r="I70" s="72">
        <f t="shared" si="7"/>
        <v>1.2144</v>
      </c>
      <c r="J70" s="73">
        <v>90.0</v>
      </c>
      <c r="K70" s="74">
        <v>72.7</v>
      </c>
      <c r="L70" s="75">
        <v>0.21</v>
      </c>
      <c r="M70" s="127">
        <v>0.052</v>
      </c>
      <c r="N70" s="79" t="s">
        <v>136</v>
      </c>
      <c r="O70" s="82"/>
      <c r="P70" s="85"/>
    </row>
    <row r="71" outlineLevel="1">
      <c r="A71" s="94"/>
      <c r="B71" s="96"/>
      <c r="C71" s="159" t="s">
        <v>367</v>
      </c>
      <c r="D71" s="126">
        <v>50.0</v>
      </c>
      <c r="E71" s="60">
        <v>3.5</v>
      </c>
      <c r="F71" s="98">
        <f t="shared" si="1"/>
        <v>0.3365485714</v>
      </c>
      <c r="G71" s="68">
        <f t="shared" si="2"/>
        <v>1.17792</v>
      </c>
      <c r="H71" s="68">
        <f t="shared" si="3"/>
        <v>2.32208</v>
      </c>
      <c r="I71" s="72">
        <f t="shared" si="7"/>
        <v>1.84</v>
      </c>
      <c r="J71" s="73">
        <v>60.0</v>
      </c>
      <c r="K71" s="74">
        <v>72.7</v>
      </c>
      <c r="L71" s="75">
        <v>0.21</v>
      </c>
      <c r="M71" s="127">
        <v>0.052</v>
      </c>
      <c r="N71" s="79" t="s">
        <v>136</v>
      </c>
      <c r="O71" s="82"/>
      <c r="P71" s="85"/>
    </row>
    <row r="72" outlineLevel="1">
      <c r="A72" s="94"/>
      <c r="B72" s="96"/>
      <c r="C72" s="159" t="s">
        <v>376</v>
      </c>
      <c r="D72" s="126">
        <v>100.0</v>
      </c>
      <c r="E72" s="60">
        <v>8.0</v>
      </c>
      <c r="F72" s="98">
        <f t="shared" si="1"/>
        <v>0.41948</v>
      </c>
      <c r="G72" s="68">
        <f t="shared" si="2"/>
        <v>3.35584</v>
      </c>
      <c r="H72" s="68">
        <f t="shared" si="3"/>
        <v>4.64416</v>
      </c>
      <c r="I72" s="72">
        <f t="shared" si="7"/>
        <v>3.68</v>
      </c>
      <c r="J72" s="73">
        <v>20.0</v>
      </c>
      <c r="K72" s="74">
        <v>72.7</v>
      </c>
      <c r="L72" s="75">
        <v>0.21</v>
      </c>
      <c r="M72" s="127">
        <v>0.052</v>
      </c>
      <c r="N72" s="79" t="s">
        <v>136</v>
      </c>
      <c r="O72" s="82"/>
      <c r="P72" s="85"/>
    </row>
    <row r="73" outlineLevel="1">
      <c r="A73" s="94"/>
      <c r="B73" s="96"/>
      <c r="C73" s="159" t="s">
        <v>384</v>
      </c>
      <c r="D73" s="126">
        <v>100.0</v>
      </c>
      <c r="E73" s="60">
        <v>8.0</v>
      </c>
      <c r="F73" s="98">
        <f t="shared" si="1"/>
        <v>0.41948</v>
      </c>
      <c r="G73" s="68">
        <f t="shared" si="2"/>
        <v>3.35584</v>
      </c>
      <c r="H73" s="68">
        <f t="shared" si="3"/>
        <v>4.64416</v>
      </c>
      <c r="I73" s="72">
        <f t="shared" si="7"/>
        <v>3.68</v>
      </c>
      <c r="J73" s="73">
        <v>20.0</v>
      </c>
      <c r="K73" s="74">
        <v>72.7</v>
      </c>
      <c r="L73" s="75">
        <v>0.21</v>
      </c>
      <c r="M73" s="127">
        <v>0.052</v>
      </c>
      <c r="N73" s="79" t="s">
        <v>136</v>
      </c>
      <c r="O73" s="82"/>
      <c r="P73" s="85"/>
    </row>
    <row r="74">
      <c r="A74" s="94" t="s">
        <v>306</v>
      </c>
      <c r="B74" s="96" t="s">
        <v>427</v>
      </c>
      <c r="C74" s="58" t="s">
        <v>428</v>
      </c>
      <c r="D74" s="126">
        <v>33.0</v>
      </c>
      <c r="E74" s="60">
        <v>2.0</v>
      </c>
      <c r="F74" s="98">
        <f t="shared" si="1"/>
        <v>0.35007</v>
      </c>
      <c r="G74" s="68">
        <f t="shared" si="2"/>
        <v>0.70014</v>
      </c>
      <c r="H74" s="68">
        <f t="shared" si="3"/>
        <v>1.29986</v>
      </c>
      <c r="I74" s="72">
        <f t="shared" ref="I74:I102" si="8">K74/J74</f>
        <v>1.03</v>
      </c>
      <c r="J74" s="73">
        <v>24.0</v>
      </c>
      <c r="K74" s="74">
        <v>24.72</v>
      </c>
      <c r="L74" s="75">
        <v>0.21</v>
      </c>
      <c r="M74" s="127">
        <v>0.052</v>
      </c>
      <c r="N74" s="79" t="s">
        <v>147</v>
      </c>
      <c r="O74" s="82"/>
      <c r="P74" s="156">
        <v>23.53</v>
      </c>
    </row>
    <row r="75">
      <c r="A75" s="160" t="s">
        <v>306</v>
      </c>
      <c r="B75" s="161" t="s">
        <v>427</v>
      </c>
      <c r="C75" s="202" t="s">
        <v>428</v>
      </c>
      <c r="D75" s="203">
        <v>33.0</v>
      </c>
      <c r="E75" s="164">
        <v>2.0</v>
      </c>
      <c r="F75" s="165">
        <f t="shared" si="1"/>
        <v>0.35007</v>
      </c>
      <c r="G75" s="166">
        <f t="shared" si="2"/>
        <v>0.70014</v>
      </c>
      <c r="H75" s="166">
        <f t="shared" si="3"/>
        <v>1.29986</v>
      </c>
      <c r="I75" s="167">
        <f t="shared" si="8"/>
        <v>1.03</v>
      </c>
      <c r="J75" s="168">
        <v>24.0</v>
      </c>
      <c r="K75" s="204">
        <v>24.72</v>
      </c>
      <c r="L75" s="170">
        <v>0.21</v>
      </c>
      <c r="M75" s="205">
        <v>0.052</v>
      </c>
      <c r="N75" s="206" t="s">
        <v>86</v>
      </c>
      <c r="O75" s="82"/>
      <c r="P75" s="207">
        <v>23.53</v>
      </c>
    </row>
    <row r="76">
      <c r="A76" s="94" t="s">
        <v>306</v>
      </c>
      <c r="B76" s="96" t="s">
        <v>427</v>
      </c>
      <c r="C76" s="58" t="s">
        <v>436</v>
      </c>
      <c r="D76" s="126">
        <v>33.0</v>
      </c>
      <c r="E76" s="60">
        <v>1.6</v>
      </c>
      <c r="F76" s="98">
        <f t="shared" si="1"/>
        <v>0.2145364583</v>
      </c>
      <c r="G76" s="68">
        <f t="shared" si="2"/>
        <v>0.3432583333</v>
      </c>
      <c r="H76" s="68">
        <f t="shared" si="3"/>
        <v>1.256741667</v>
      </c>
      <c r="I76" s="72">
        <f t="shared" si="8"/>
        <v>0.9958333333</v>
      </c>
      <c r="J76" s="73">
        <v>24.0</v>
      </c>
      <c r="K76" s="74">
        <v>23.9</v>
      </c>
      <c r="L76" s="75">
        <v>0.21</v>
      </c>
      <c r="M76" s="127">
        <v>0.052</v>
      </c>
      <c r="N76" s="79" t="s">
        <v>131</v>
      </c>
      <c r="O76" s="82"/>
      <c r="P76" s="156"/>
    </row>
    <row r="77">
      <c r="A77" s="94" t="s">
        <v>306</v>
      </c>
      <c r="B77" s="96" t="s">
        <v>427</v>
      </c>
      <c r="C77" s="58" t="s">
        <v>439</v>
      </c>
      <c r="D77" s="126">
        <v>33.0</v>
      </c>
      <c r="E77" s="60">
        <v>2.3</v>
      </c>
      <c r="F77" s="98">
        <f t="shared" si="1"/>
        <v>0.250115942</v>
      </c>
      <c r="G77" s="68">
        <f t="shared" si="2"/>
        <v>0.5752666667</v>
      </c>
      <c r="H77" s="68">
        <f t="shared" si="3"/>
        <v>1.724733333</v>
      </c>
      <c r="I77" s="72">
        <f t="shared" si="8"/>
        <v>1.366666667</v>
      </c>
      <c r="J77" s="73">
        <v>24.0</v>
      </c>
      <c r="K77" s="74">
        <v>32.8</v>
      </c>
      <c r="L77" s="75">
        <v>0.21</v>
      </c>
      <c r="M77" s="127">
        <v>0.052</v>
      </c>
      <c r="N77" s="79" t="s">
        <v>131</v>
      </c>
      <c r="O77" s="82"/>
      <c r="P77" s="156">
        <v>32.8</v>
      </c>
    </row>
    <row r="78">
      <c r="A78" s="94" t="s">
        <v>306</v>
      </c>
      <c r="B78" s="96" t="s">
        <v>427</v>
      </c>
      <c r="C78" s="58" t="s">
        <v>442</v>
      </c>
      <c r="D78" s="126">
        <v>33.0</v>
      </c>
      <c r="E78" s="60">
        <v>2.3</v>
      </c>
      <c r="F78" s="98">
        <f t="shared" si="1"/>
        <v>0.3196173913</v>
      </c>
      <c r="G78" s="68">
        <f t="shared" si="2"/>
        <v>0.73512</v>
      </c>
      <c r="H78" s="68">
        <f t="shared" si="3"/>
        <v>1.56488</v>
      </c>
      <c r="I78" s="72">
        <f t="shared" si="8"/>
        <v>1.24</v>
      </c>
      <c r="J78" s="73">
        <v>24.0</v>
      </c>
      <c r="K78" s="74">
        <v>29.76</v>
      </c>
      <c r="L78" s="75">
        <v>0.21</v>
      </c>
      <c r="M78" s="127">
        <v>0.052</v>
      </c>
      <c r="N78" s="79" t="s">
        <v>131</v>
      </c>
      <c r="O78" s="82"/>
      <c r="P78" s="156">
        <v>32.8</v>
      </c>
    </row>
    <row r="79">
      <c r="A79" s="94" t="s">
        <v>306</v>
      </c>
      <c r="B79" s="96" t="s">
        <v>427</v>
      </c>
      <c r="C79" s="58" t="s">
        <v>445</v>
      </c>
      <c r="D79" s="126">
        <v>33.0</v>
      </c>
      <c r="E79" s="60">
        <v>1.5</v>
      </c>
      <c r="F79" s="98">
        <f t="shared" si="1"/>
        <v>0.77284</v>
      </c>
      <c r="G79" s="68">
        <f t="shared" si="2"/>
        <v>1.15926</v>
      </c>
      <c r="H79" s="68">
        <f t="shared" si="3"/>
        <v>0.34074</v>
      </c>
      <c r="I79" s="72">
        <f t="shared" si="8"/>
        <v>0.27</v>
      </c>
      <c r="J79" s="73">
        <v>1.0</v>
      </c>
      <c r="K79" s="74">
        <v>0.27</v>
      </c>
      <c r="L79" s="75">
        <v>0.21</v>
      </c>
      <c r="M79" s="127">
        <v>0.052</v>
      </c>
      <c r="N79" s="79" t="s">
        <v>448</v>
      </c>
      <c r="O79" s="82"/>
      <c r="P79" s="85"/>
    </row>
    <row r="80">
      <c r="A80" s="94" t="s">
        <v>306</v>
      </c>
      <c r="B80" s="96" t="s">
        <v>427</v>
      </c>
      <c r="C80" s="58" t="s">
        <v>449</v>
      </c>
      <c r="D80" s="126">
        <v>33.0</v>
      </c>
      <c r="E80" s="60">
        <v>2.0</v>
      </c>
      <c r="F80" s="98">
        <f t="shared" si="1"/>
        <v>1</v>
      </c>
      <c r="G80" s="68">
        <f t="shared" si="2"/>
        <v>2</v>
      </c>
      <c r="H80" s="68">
        <f t="shared" si="3"/>
        <v>0</v>
      </c>
      <c r="I80" s="72">
        <f t="shared" si="8"/>
        <v>0</v>
      </c>
      <c r="J80" s="73">
        <v>1.0</v>
      </c>
      <c r="K80" s="74"/>
      <c r="L80" s="75">
        <v>0.21</v>
      </c>
      <c r="M80" s="127">
        <v>0.052</v>
      </c>
      <c r="N80" s="79"/>
      <c r="O80" s="82"/>
      <c r="P80" s="85"/>
    </row>
    <row r="81">
      <c r="A81" s="94" t="s">
        <v>306</v>
      </c>
      <c r="B81" s="96" t="s">
        <v>427</v>
      </c>
      <c r="C81" s="58" t="s">
        <v>451</v>
      </c>
      <c r="D81" s="126">
        <v>33.0</v>
      </c>
      <c r="E81" s="60">
        <v>2.0</v>
      </c>
      <c r="F81" s="98">
        <f t="shared" si="1"/>
        <v>0.2898620833</v>
      </c>
      <c r="G81" s="68">
        <f t="shared" si="2"/>
        <v>0.5797241667</v>
      </c>
      <c r="H81" s="68">
        <f t="shared" si="3"/>
        <v>1.420275833</v>
      </c>
      <c r="I81" s="72">
        <f t="shared" si="8"/>
        <v>1.125416667</v>
      </c>
      <c r="J81" s="73">
        <v>24.0</v>
      </c>
      <c r="K81" s="74">
        <v>27.01</v>
      </c>
      <c r="L81" s="75">
        <v>0.21</v>
      </c>
      <c r="M81" s="127">
        <v>0.052</v>
      </c>
      <c r="N81" s="79"/>
      <c r="O81" s="82"/>
      <c r="P81" s="85"/>
    </row>
    <row r="82">
      <c r="A82" s="94" t="s">
        <v>306</v>
      </c>
      <c r="B82" s="96" t="s">
        <v>427</v>
      </c>
      <c r="C82" s="58" t="s">
        <v>454</v>
      </c>
      <c r="D82" s="126">
        <v>20.0</v>
      </c>
      <c r="E82" s="60">
        <v>1.2</v>
      </c>
      <c r="F82" s="98">
        <f t="shared" si="1"/>
        <v>0.2222048611</v>
      </c>
      <c r="G82" s="68">
        <f t="shared" si="2"/>
        <v>0.2666458333</v>
      </c>
      <c r="H82" s="68">
        <f t="shared" si="3"/>
        <v>0.9333541667</v>
      </c>
      <c r="I82" s="72">
        <f t="shared" si="8"/>
        <v>0.7395833333</v>
      </c>
      <c r="J82" s="73">
        <v>24.0</v>
      </c>
      <c r="K82" s="74">
        <v>17.75</v>
      </c>
      <c r="L82" s="75">
        <v>0.21</v>
      </c>
      <c r="M82" s="127">
        <v>0.052</v>
      </c>
      <c r="N82" s="79"/>
      <c r="O82" s="82"/>
      <c r="P82" s="85"/>
    </row>
    <row r="83">
      <c r="A83" s="94" t="s">
        <v>306</v>
      </c>
      <c r="B83" s="96" t="s">
        <v>427</v>
      </c>
      <c r="C83" s="58" t="s">
        <v>458</v>
      </c>
      <c r="D83" s="126">
        <v>33.0</v>
      </c>
      <c r="E83" s="60">
        <v>2.0</v>
      </c>
      <c r="F83" s="98">
        <f t="shared" si="1"/>
        <v>0.29895625</v>
      </c>
      <c r="G83" s="68">
        <f t="shared" si="2"/>
        <v>0.5979125</v>
      </c>
      <c r="H83" s="68">
        <f t="shared" si="3"/>
        <v>1.4020875</v>
      </c>
      <c r="I83" s="72">
        <f t="shared" si="8"/>
        <v>1.15875</v>
      </c>
      <c r="J83" s="73">
        <v>24.0</v>
      </c>
      <c r="K83" s="74">
        <v>27.81</v>
      </c>
      <c r="L83" s="75">
        <v>0.21</v>
      </c>
      <c r="M83" s="76">
        <v>0.0</v>
      </c>
      <c r="N83" s="79" t="s">
        <v>136</v>
      </c>
      <c r="O83" s="82"/>
      <c r="P83" s="85"/>
    </row>
    <row r="84">
      <c r="A84" s="94" t="s">
        <v>306</v>
      </c>
      <c r="B84" s="96" t="s">
        <v>427</v>
      </c>
      <c r="C84" s="58" t="s">
        <v>461</v>
      </c>
      <c r="D84" s="126">
        <v>100.0</v>
      </c>
      <c r="E84" s="60">
        <v>2.5</v>
      </c>
      <c r="F84" s="98">
        <f t="shared" si="1"/>
        <v>0.4272666667</v>
      </c>
      <c r="G84" s="68">
        <f t="shared" si="2"/>
        <v>1.068166667</v>
      </c>
      <c r="H84" s="68">
        <f t="shared" si="3"/>
        <v>1.431833333</v>
      </c>
      <c r="I84" s="72">
        <f t="shared" si="8"/>
        <v>1.183333333</v>
      </c>
      <c r="J84" s="73">
        <v>6.0</v>
      </c>
      <c r="K84" s="74">
        <v>7.1</v>
      </c>
      <c r="L84" s="75">
        <v>0.21</v>
      </c>
      <c r="M84" s="76">
        <v>0.0</v>
      </c>
      <c r="N84" s="79" t="s">
        <v>463</v>
      </c>
      <c r="O84" s="82"/>
      <c r="P84" s="85"/>
    </row>
    <row r="85">
      <c r="A85" s="94" t="s">
        <v>306</v>
      </c>
      <c r="B85" s="96" t="s">
        <v>427</v>
      </c>
      <c r="C85" s="58" t="s">
        <v>465</v>
      </c>
      <c r="D85" s="126">
        <v>33.0</v>
      </c>
      <c r="E85" s="60">
        <v>2.0</v>
      </c>
      <c r="F85" s="98">
        <f t="shared" si="1"/>
        <v>0.27021875</v>
      </c>
      <c r="G85" s="68">
        <f t="shared" si="2"/>
        <v>0.5404375</v>
      </c>
      <c r="H85" s="68">
        <f t="shared" si="3"/>
        <v>1.4595625</v>
      </c>
      <c r="I85" s="72">
        <f t="shared" si="8"/>
        <v>1.20625</v>
      </c>
      <c r="J85" s="73">
        <v>24.0</v>
      </c>
      <c r="K85" s="74">
        <v>28.95</v>
      </c>
      <c r="L85" s="75">
        <v>0.21</v>
      </c>
      <c r="M85" s="76">
        <v>0.0</v>
      </c>
      <c r="N85" s="79" t="s">
        <v>468</v>
      </c>
      <c r="O85" s="82"/>
      <c r="P85" s="85"/>
    </row>
    <row r="86">
      <c r="A86" s="94" t="s">
        <v>306</v>
      </c>
      <c r="B86" s="96" t="s">
        <v>427</v>
      </c>
      <c r="C86" s="58" t="s">
        <v>471</v>
      </c>
      <c r="D86" s="126">
        <v>20.0</v>
      </c>
      <c r="E86" s="60">
        <v>1.5</v>
      </c>
      <c r="F86" s="98">
        <f t="shared" si="1"/>
        <v>0.4087133333</v>
      </c>
      <c r="G86" s="68">
        <f t="shared" si="2"/>
        <v>0.61307</v>
      </c>
      <c r="H86" s="68">
        <f t="shared" si="3"/>
        <v>0.88693</v>
      </c>
      <c r="I86" s="72">
        <f t="shared" si="8"/>
        <v>0.733</v>
      </c>
      <c r="J86" s="73">
        <v>30.0</v>
      </c>
      <c r="K86" s="74">
        <v>21.99</v>
      </c>
      <c r="L86" s="75">
        <v>0.21</v>
      </c>
      <c r="M86" s="76">
        <v>0.0</v>
      </c>
      <c r="N86" s="79" t="s">
        <v>468</v>
      </c>
      <c r="O86" s="82"/>
      <c r="P86" s="85"/>
    </row>
    <row r="87">
      <c r="A87" s="94" t="s">
        <v>306</v>
      </c>
      <c r="B87" s="96" t="s">
        <v>473</v>
      </c>
      <c r="C87" s="58" t="s">
        <v>475</v>
      </c>
      <c r="D87" s="126">
        <v>30.0</v>
      </c>
      <c r="E87" s="60">
        <v>1.6</v>
      </c>
      <c r="F87" s="98">
        <f t="shared" si="1"/>
        <v>0.5681497396</v>
      </c>
      <c r="G87" s="68">
        <f t="shared" si="2"/>
        <v>0.9090395833</v>
      </c>
      <c r="H87" s="68">
        <f t="shared" si="3"/>
        <v>0.6909604167</v>
      </c>
      <c r="I87" s="72">
        <f t="shared" si="8"/>
        <v>0.5710416667</v>
      </c>
      <c r="J87" s="73">
        <v>48.0</v>
      </c>
      <c r="K87" s="74">
        <v>27.41</v>
      </c>
      <c r="L87" s="75">
        <v>0.21</v>
      </c>
      <c r="M87" s="76">
        <v>0.0</v>
      </c>
      <c r="N87" s="79" t="s">
        <v>136</v>
      </c>
      <c r="O87" s="82"/>
      <c r="P87" s="156">
        <v>33.8</v>
      </c>
    </row>
    <row r="88">
      <c r="A88" s="94" t="s">
        <v>306</v>
      </c>
      <c r="B88" s="96" t="s">
        <v>473</v>
      </c>
      <c r="C88" s="58" t="s">
        <v>477</v>
      </c>
      <c r="D88" s="126">
        <v>33.0</v>
      </c>
      <c r="E88" s="60">
        <v>2.2</v>
      </c>
      <c r="F88" s="98">
        <f t="shared" si="1"/>
        <v>0.65625</v>
      </c>
      <c r="G88" s="68">
        <f t="shared" si="2"/>
        <v>1.44375</v>
      </c>
      <c r="H88" s="68">
        <f t="shared" si="3"/>
        <v>0.75625</v>
      </c>
      <c r="I88" s="72">
        <f t="shared" si="8"/>
        <v>0.625</v>
      </c>
      <c r="J88" s="73">
        <v>24.0</v>
      </c>
      <c r="K88" s="74">
        <v>15.0</v>
      </c>
      <c r="L88" s="75">
        <v>0.21</v>
      </c>
      <c r="M88" s="76">
        <v>0.0</v>
      </c>
      <c r="N88" s="79" t="s">
        <v>131</v>
      </c>
      <c r="O88" s="82"/>
      <c r="P88" s="156">
        <v>35.7</v>
      </c>
    </row>
    <row r="89">
      <c r="A89" s="94" t="s">
        <v>306</v>
      </c>
      <c r="B89" s="96" t="s">
        <v>427</v>
      </c>
      <c r="C89" s="58" t="s">
        <v>480</v>
      </c>
      <c r="D89" s="126">
        <v>33.0</v>
      </c>
      <c r="E89" s="60">
        <v>2.2</v>
      </c>
      <c r="F89" s="98">
        <f t="shared" si="1"/>
        <v>0.65625</v>
      </c>
      <c r="G89" s="68">
        <f t="shared" si="2"/>
        <v>1.44375</v>
      </c>
      <c r="H89" s="68">
        <f t="shared" si="3"/>
        <v>0.75625</v>
      </c>
      <c r="I89" s="72">
        <f t="shared" si="8"/>
        <v>0.625</v>
      </c>
      <c r="J89" s="73">
        <v>24.0</v>
      </c>
      <c r="K89" s="74">
        <v>15.0</v>
      </c>
      <c r="L89" s="75">
        <v>0.21</v>
      </c>
      <c r="M89" s="76">
        <v>0.0</v>
      </c>
      <c r="N89" s="79" t="s">
        <v>131</v>
      </c>
      <c r="O89" s="82"/>
      <c r="P89" s="156">
        <v>35.7</v>
      </c>
    </row>
    <row r="90">
      <c r="A90" s="94" t="s">
        <v>306</v>
      </c>
      <c r="B90" s="96" t="s">
        <v>427</v>
      </c>
      <c r="C90" s="225" t="s">
        <v>484</v>
      </c>
      <c r="D90" s="126">
        <v>20.0</v>
      </c>
      <c r="E90" s="60">
        <v>1.5</v>
      </c>
      <c r="F90" s="98">
        <f t="shared" si="1"/>
        <v>0.3963444444</v>
      </c>
      <c r="G90" s="68">
        <f t="shared" si="2"/>
        <v>0.5945166667</v>
      </c>
      <c r="H90" s="68">
        <f t="shared" si="3"/>
        <v>0.9054833333</v>
      </c>
      <c r="I90" s="72">
        <f t="shared" si="8"/>
        <v>0.7483333333</v>
      </c>
      <c r="J90" s="73">
        <v>30.0</v>
      </c>
      <c r="K90" s="74">
        <v>22.45</v>
      </c>
      <c r="L90" s="75">
        <v>0.21</v>
      </c>
      <c r="M90" s="76">
        <v>0.0</v>
      </c>
      <c r="N90" s="79" t="s">
        <v>147</v>
      </c>
      <c r="O90" s="82"/>
      <c r="P90" s="85"/>
    </row>
    <row r="91">
      <c r="A91" s="94" t="s">
        <v>306</v>
      </c>
      <c r="B91" s="96" t="s">
        <v>427</v>
      </c>
      <c r="C91" s="58" t="s">
        <v>485</v>
      </c>
      <c r="D91" s="126">
        <v>33.0</v>
      </c>
      <c r="E91" s="60">
        <v>2.0</v>
      </c>
      <c r="F91" s="98">
        <f t="shared" si="1"/>
        <v>0.2654291667</v>
      </c>
      <c r="G91" s="68">
        <f t="shared" si="2"/>
        <v>0.5308583333</v>
      </c>
      <c r="H91" s="68">
        <f t="shared" si="3"/>
        <v>1.469141667</v>
      </c>
      <c r="I91" s="72">
        <f t="shared" si="8"/>
        <v>1.214166667</v>
      </c>
      <c r="J91" s="73">
        <v>24.0</v>
      </c>
      <c r="K91" s="74">
        <v>29.14</v>
      </c>
      <c r="L91" s="75">
        <v>0.21</v>
      </c>
      <c r="M91" s="76">
        <v>0.0</v>
      </c>
      <c r="N91" s="79" t="s">
        <v>147</v>
      </c>
      <c r="O91" s="82"/>
      <c r="P91" s="85" t="s">
        <v>488</v>
      </c>
    </row>
    <row r="92">
      <c r="A92" s="94" t="s">
        <v>306</v>
      </c>
      <c r="B92" s="96" t="s">
        <v>473</v>
      </c>
      <c r="C92" s="58" t="s">
        <v>489</v>
      </c>
      <c r="D92" s="126">
        <v>20.0</v>
      </c>
      <c r="E92" s="60">
        <v>1.2</v>
      </c>
      <c r="F92" s="98">
        <f t="shared" si="1"/>
        <v>1</v>
      </c>
      <c r="G92" s="68">
        <f t="shared" si="2"/>
        <v>1.2</v>
      </c>
      <c r="H92" s="68">
        <f t="shared" si="3"/>
        <v>0</v>
      </c>
      <c r="I92" s="72">
        <f t="shared" si="8"/>
        <v>0</v>
      </c>
      <c r="J92" s="73">
        <v>1.0</v>
      </c>
      <c r="K92" s="74"/>
      <c r="L92" s="75">
        <v>0.21</v>
      </c>
      <c r="M92" s="76">
        <v>0.0</v>
      </c>
      <c r="N92" s="79"/>
      <c r="O92" s="82"/>
      <c r="P92" s="85"/>
    </row>
    <row r="93">
      <c r="A93" s="94" t="s">
        <v>306</v>
      </c>
      <c r="B93" s="96" t="s">
        <v>473</v>
      </c>
      <c r="C93" s="58" t="s">
        <v>492</v>
      </c>
      <c r="D93" s="126">
        <v>33.0</v>
      </c>
      <c r="E93" s="60">
        <v>2.3</v>
      </c>
      <c r="F93" s="98">
        <f t="shared" si="1"/>
        <v>0.2382699275</v>
      </c>
      <c r="G93" s="68">
        <f t="shared" si="2"/>
        <v>0.5480208333</v>
      </c>
      <c r="H93" s="68">
        <f t="shared" si="3"/>
        <v>1.751979167</v>
      </c>
      <c r="I93" s="72">
        <f t="shared" si="8"/>
        <v>1.447916667</v>
      </c>
      <c r="J93" s="73">
        <v>24.0</v>
      </c>
      <c r="K93" s="74">
        <v>34.75</v>
      </c>
      <c r="L93" s="75">
        <v>0.21</v>
      </c>
      <c r="M93" s="76">
        <v>0.0</v>
      </c>
      <c r="N93" s="79"/>
      <c r="O93" s="82"/>
      <c r="P93" s="85"/>
    </row>
    <row r="94">
      <c r="A94" s="94" t="s">
        <v>306</v>
      </c>
      <c r="B94" s="96" t="s">
        <v>494</v>
      </c>
      <c r="C94" s="58" t="s">
        <v>495</v>
      </c>
      <c r="D94" s="126">
        <v>33.0</v>
      </c>
      <c r="E94" s="60">
        <v>2.3</v>
      </c>
      <c r="F94" s="98">
        <f t="shared" si="1"/>
        <v>0.2853985507</v>
      </c>
      <c r="G94" s="68">
        <f t="shared" si="2"/>
        <v>0.6564166667</v>
      </c>
      <c r="H94" s="68">
        <f t="shared" si="3"/>
        <v>1.643583333</v>
      </c>
      <c r="I94" s="72">
        <f t="shared" si="8"/>
        <v>1.358333333</v>
      </c>
      <c r="J94" s="73">
        <v>24.0</v>
      </c>
      <c r="K94" s="74">
        <v>32.6</v>
      </c>
      <c r="L94" s="75">
        <v>0.21</v>
      </c>
      <c r="M94" s="76">
        <v>0.0</v>
      </c>
      <c r="N94" s="226" t="s">
        <v>131</v>
      </c>
      <c r="O94" s="227"/>
      <c r="P94" s="85"/>
    </row>
    <row r="95">
      <c r="A95" s="94" t="s">
        <v>306</v>
      </c>
      <c r="B95" s="96" t="s">
        <v>427</v>
      </c>
      <c r="C95" s="58" t="s">
        <v>500</v>
      </c>
      <c r="D95" s="126">
        <v>33.0</v>
      </c>
      <c r="E95" s="60">
        <v>2.2</v>
      </c>
      <c r="F95" s="98">
        <f t="shared" si="1"/>
        <v>0.3008125</v>
      </c>
      <c r="G95" s="68">
        <f t="shared" si="2"/>
        <v>0.6617875</v>
      </c>
      <c r="H95" s="68">
        <f t="shared" si="3"/>
        <v>1.5382125</v>
      </c>
      <c r="I95" s="72">
        <f t="shared" si="8"/>
        <v>1.27125</v>
      </c>
      <c r="J95" s="73">
        <v>24.0</v>
      </c>
      <c r="K95" s="74">
        <v>30.51</v>
      </c>
      <c r="L95" s="75">
        <v>0.21</v>
      </c>
      <c r="M95" s="76">
        <v>0.0</v>
      </c>
      <c r="N95" s="79" t="s">
        <v>136</v>
      </c>
      <c r="O95" s="82"/>
      <c r="P95" s="156">
        <v>22.57</v>
      </c>
    </row>
    <row r="96">
      <c r="A96" s="112" t="s">
        <v>306</v>
      </c>
      <c r="B96" s="113" t="s">
        <v>427</v>
      </c>
      <c r="C96" s="114" t="s">
        <v>503</v>
      </c>
      <c r="D96" s="115">
        <v>33.0</v>
      </c>
      <c r="E96" s="116">
        <v>2.3</v>
      </c>
      <c r="F96" s="179">
        <f t="shared" si="1"/>
        <v>0.2963586957</v>
      </c>
      <c r="G96" s="117">
        <f t="shared" si="2"/>
        <v>0.681625</v>
      </c>
      <c r="H96" s="117">
        <f t="shared" si="3"/>
        <v>1.618375</v>
      </c>
      <c r="I96" s="118">
        <f t="shared" si="8"/>
        <v>1.3375</v>
      </c>
      <c r="J96" s="119">
        <v>24.0</v>
      </c>
      <c r="K96" s="108">
        <v>32.1</v>
      </c>
      <c r="L96" s="120">
        <v>0.21</v>
      </c>
      <c r="M96" s="157">
        <v>0.0</v>
      </c>
      <c r="N96" s="122" t="s">
        <v>136</v>
      </c>
      <c r="O96" s="123"/>
      <c r="P96" s="228">
        <v>29.66</v>
      </c>
    </row>
    <row r="97">
      <c r="A97" s="181" t="s">
        <v>508</v>
      </c>
      <c r="B97" s="183" t="s">
        <v>509</v>
      </c>
      <c r="C97" s="184" t="s">
        <v>510</v>
      </c>
      <c r="D97" s="185">
        <v>100.0</v>
      </c>
      <c r="E97" s="187">
        <v>6.0</v>
      </c>
      <c r="F97" s="188">
        <f t="shared" si="1"/>
        <v>0.7896666667</v>
      </c>
      <c r="G97" s="189">
        <f t="shared" si="2"/>
        <v>4.738</v>
      </c>
      <c r="H97" s="229">
        <f t="shared" si="3"/>
        <v>1.262</v>
      </c>
      <c r="I97" s="72">
        <f t="shared" si="8"/>
        <v>1</v>
      </c>
      <c r="J97" s="192">
        <v>1.0</v>
      </c>
      <c r="K97" s="193">
        <v>1.0</v>
      </c>
      <c r="L97" s="194">
        <v>0.21</v>
      </c>
      <c r="M97" s="230">
        <v>0.052</v>
      </c>
      <c r="N97" s="196"/>
      <c r="O97" s="197"/>
      <c r="P97" s="231"/>
    </row>
    <row r="98">
      <c r="A98" s="94"/>
      <c r="B98" s="96"/>
      <c r="C98" s="159" t="s">
        <v>515</v>
      </c>
      <c r="D98" s="126">
        <v>20.0</v>
      </c>
      <c r="E98" s="60">
        <v>1.5</v>
      </c>
      <c r="F98" s="98">
        <f t="shared" si="1"/>
        <v>1</v>
      </c>
      <c r="G98" s="68">
        <f t="shared" si="2"/>
        <v>1.5</v>
      </c>
      <c r="H98" s="70">
        <f t="shared" si="3"/>
        <v>0</v>
      </c>
      <c r="I98" s="72">
        <f t="shared" si="8"/>
        <v>0</v>
      </c>
      <c r="J98" s="73">
        <v>1.0</v>
      </c>
      <c r="K98" s="74"/>
      <c r="L98" s="75">
        <v>0.21</v>
      </c>
      <c r="M98" s="127">
        <v>0.052</v>
      </c>
      <c r="N98" s="232"/>
      <c r="O98" s="233"/>
      <c r="P98" s="85"/>
    </row>
    <row r="99">
      <c r="A99" s="94" t="s">
        <v>508</v>
      </c>
      <c r="B99" s="96" t="s">
        <v>509</v>
      </c>
      <c r="C99" s="58" t="s">
        <v>519</v>
      </c>
      <c r="D99" s="126">
        <v>100.0</v>
      </c>
      <c r="E99" s="60">
        <v>15.0</v>
      </c>
      <c r="F99" s="98">
        <f t="shared" si="1"/>
        <v>0.9158666667</v>
      </c>
      <c r="G99" s="68">
        <f t="shared" si="2"/>
        <v>13.738</v>
      </c>
      <c r="H99" s="68">
        <f t="shared" si="3"/>
        <v>1.262</v>
      </c>
      <c r="I99" s="72">
        <f t="shared" si="8"/>
        <v>1</v>
      </c>
      <c r="J99" s="73">
        <v>1.0</v>
      </c>
      <c r="K99" s="74">
        <v>1.0</v>
      </c>
      <c r="L99" s="75">
        <v>0.21</v>
      </c>
      <c r="M99" s="127">
        <v>0.052</v>
      </c>
      <c r="N99" s="79"/>
      <c r="O99" s="82"/>
      <c r="P99" s="85"/>
    </row>
    <row r="100">
      <c r="A100" s="94"/>
      <c r="B100" s="96"/>
      <c r="C100" s="159" t="s">
        <v>515</v>
      </c>
      <c r="D100" s="126">
        <v>20.0</v>
      </c>
      <c r="E100" s="60">
        <v>2.0</v>
      </c>
      <c r="F100" s="98">
        <f t="shared" si="1"/>
        <v>1</v>
      </c>
      <c r="G100" s="68">
        <f t="shared" si="2"/>
        <v>2</v>
      </c>
      <c r="H100" s="70">
        <f t="shared" si="3"/>
        <v>0</v>
      </c>
      <c r="I100" s="72">
        <f t="shared" si="8"/>
        <v>0</v>
      </c>
      <c r="J100" s="73">
        <v>1.0</v>
      </c>
      <c r="K100" s="74"/>
      <c r="L100" s="75">
        <v>0.21</v>
      </c>
      <c r="M100" s="127">
        <v>0.052</v>
      </c>
      <c r="N100" s="79"/>
      <c r="O100" s="82"/>
      <c r="P100" s="85"/>
    </row>
    <row r="101">
      <c r="A101" s="94" t="s">
        <v>508</v>
      </c>
      <c r="B101" s="96" t="s">
        <v>53</v>
      </c>
      <c r="C101" s="58" t="s">
        <v>524</v>
      </c>
      <c r="D101" s="126">
        <v>100.0</v>
      </c>
      <c r="E101" s="60">
        <v>8.0</v>
      </c>
      <c r="F101" s="98">
        <f t="shared" si="1"/>
        <v>0.369</v>
      </c>
      <c r="G101" s="68">
        <f t="shared" si="2"/>
        <v>2.952</v>
      </c>
      <c r="H101" s="68">
        <f t="shared" si="3"/>
        <v>5.048</v>
      </c>
      <c r="I101" s="72">
        <f t="shared" si="8"/>
        <v>4</v>
      </c>
      <c r="J101" s="73">
        <v>1.0</v>
      </c>
      <c r="K101" s="74">
        <v>4.0</v>
      </c>
      <c r="L101" s="75">
        <v>0.21</v>
      </c>
      <c r="M101" s="127">
        <v>0.052</v>
      </c>
      <c r="N101" s="79" t="s">
        <v>147</v>
      </c>
      <c r="O101" s="82"/>
      <c r="P101" s="85"/>
    </row>
    <row r="102">
      <c r="A102" s="94"/>
      <c r="B102" s="96"/>
      <c r="C102" s="159" t="s">
        <v>515</v>
      </c>
      <c r="D102" s="126">
        <v>20.0</v>
      </c>
      <c r="E102" s="60">
        <v>1.5</v>
      </c>
      <c r="F102" s="98">
        <f t="shared" si="1"/>
        <v>0.3269333333</v>
      </c>
      <c r="G102" s="68">
        <f t="shared" si="2"/>
        <v>0.4904</v>
      </c>
      <c r="H102" s="68">
        <f t="shared" si="3"/>
        <v>1.0096</v>
      </c>
      <c r="I102" s="72">
        <f t="shared" si="8"/>
        <v>0.8</v>
      </c>
      <c r="J102" s="73">
        <v>5.0</v>
      </c>
      <c r="K102" s="74">
        <v>4.0</v>
      </c>
      <c r="L102" s="75">
        <v>0.21</v>
      </c>
      <c r="M102" s="127">
        <v>0.052</v>
      </c>
      <c r="N102" s="79" t="s">
        <v>147</v>
      </c>
      <c r="O102" s="82"/>
      <c r="P102" s="85"/>
    </row>
    <row r="103">
      <c r="A103" s="94" t="s">
        <v>508</v>
      </c>
      <c r="B103" s="96" t="s">
        <v>529</v>
      </c>
      <c r="C103" s="58" t="s">
        <v>530</v>
      </c>
      <c r="D103" s="126">
        <v>100.0</v>
      </c>
      <c r="E103" s="60">
        <v>8.0</v>
      </c>
      <c r="F103" s="98">
        <f t="shared" si="1"/>
        <v>0.369</v>
      </c>
      <c r="G103" s="68">
        <f t="shared" si="2"/>
        <v>2.952</v>
      </c>
      <c r="H103" s="68">
        <f t="shared" si="3"/>
        <v>5.048</v>
      </c>
      <c r="I103" s="72">
        <v>4.0</v>
      </c>
      <c r="J103" s="73">
        <v>1.0</v>
      </c>
      <c r="K103" s="74">
        <v>4.0</v>
      </c>
      <c r="L103" s="75">
        <v>0.21</v>
      </c>
      <c r="M103" s="127">
        <v>0.052</v>
      </c>
      <c r="N103" s="79" t="s">
        <v>147</v>
      </c>
      <c r="O103" s="82"/>
      <c r="P103" s="85"/>
    </row>
    <row r="104">
      <c r="A104" s="94"/>
      <c r="B104" s="96"/>
      <c r="C104" s="159" t="s">
        <v>515</v>
      </c>
      <c r="D104" s="126">
        <v>20.0</v>
      </c>
      <c r="E104" s="60">
        <v>1.5</v>
      </c>
      <c r="F104" s="98">
        <f t="shared" si="1"/>
        <v>0.3269333333</v>
      </c>
      <c r="G104" s="68">
        <f t="shared" si="2"/>
        <v>0.4904</v>
      </c>
      <c r="H104" s="68">
        <f t="shared" si="3"/>
        <v>1.0096</v>
      </c>
      <c r="I104" s="72">
        <f t="shared" ref="I104:I111" si="9">K104/J104</f>
        <v>0.8</v>
      </c>
      <c r="J104" s="73">
        <v>5.0</v>
      </c>
      <c r="K104" s="74">
        <v>4.0</v>
      </c>
      <c r="L104" s="75">
        <v>0.21</v>
      </c>
      <c r="M104" s="127">
        <v>0.052</v>
      </c>
      <c r="N104" s="79" t="s">
        <v>147</v>
      </c>
      <c r="O104" s="82"/>
      <c r="P104" s="85"/>
    </row>
    <row r="105">
      <c r="A105" s="94" t="s">
        <v>508</v>
      </c>
      <c r="B105" s="96" t="s">
        <v>529</v>
      </c>
      <c r="C105" s="58" t="s">
        <v>537</v>
      </c>
      <c r="D105" s="126">
        <v>100.0</v>
      </c>
      <c r="E105" s="60">
        <v>20.0</v>
      </c>
      <c r="F105" s="98">
        <f t="shared" si="1"/>
        <v>1</v>
      </c>
      <c r="G105" s="68">
        <f t="shared" si="2"/>
        <v>20</v>
      </c>
      <c r="H105" s="68">
        <f t="shared" si="3"/>
        <v>0</v>
      </c>
      <c r="I105" s="72">
        <f t="shared" si="9"/>
        <v>0</v>
      </c>
      <c r="J105" s="73">
        <v>1.0</v>
      </c>
      <c r="K105" s="74"/>
      <c r="L105" s="75">
        <v>0.21</v>
      </c>
      <c r="M105" s="127">
        <v>0.052</v>
      </c>
      <c r="N105" s="79"/>
      <c r="O105" s="82"/>
      <c r="P105" s="85"/>
    </row>
    <row r="106">
      <c r="A106" s="94" t="s">
        <v>508</v>
      </c>
      <c r="B106" s="96" t="s">
        <v>529</v>
      </c>
      <c r="C106" s="58" t="s">
        <v>539</v>
      </c>
      <c r="D106" s="126">
        <v>100.0</v>
      </c>
      <c r="E106" s="60">
        <v>15.0</v>
      </c>
      <c r="F106" s="98">
        <f t="shared" si="1"/>
        <v>1</v>
      </c>
      <c r="G106" s="68">
        <f t="shared" si="2"/>
        <v>15</v>
      </c>
      <c r="H106" s="68">
        <f t="shared" si="3"/>
        <v>0</v>
      </c>
      <c r="I106" s="72">
        <f t="shared" si="9"/>
        <v>0</v>
      </c>
      <c r="J106" s="73">
        <v>1.0</v>
      </c>
      <c r="K106" s="74"/>
      <c r="L106" s="75">
        <v>0.21</v>
      </c>
      <c r="M106" s="127">
        <v>0.052</v>
      </c>
      <c r="N106" s="79"/>
      <c r="O106" s="82"/>
      <c r="P106" s="85"/>
    </row>
    <row r="107">
      <c r="A107" s="94"/>
      <c r="B107" s="96"/>
      <c r="C107" s="159" t="s">
        <v>515</v>
      </c>
      <c r="D107" s="126">
        <v>20.0</v>
      </c>
      <c r="E107" s="60">
        <v>2.0</v>
      </c>
      <c r="F107" s="98">
        <f t="shared" si="1"/>
        <v>1</v>
      </c>
      <c r="G107" s="68">
        <f t="shared" si="2"/>
        <v>2</v>
      </c>
      <c r="H107" s="68">
        <f t="shared" si="3"/>
        <v>0</v>
      </c>
      <c r="I107" s="72">
        <f t="shared" si="9"/>
        <v>0</v>
      </c>
      <c r="J107" s="73">
        <v>1.0</v>
      </c>
      <c r="K107" s="74"/>
      <c r="L107" s="75">
        <v>0.21</v>
      </c>
      <c r="M107" s="127">
        <v>0.052</v>
      </c>
      <c r="N107" s="79"/>
      <c r="O107" s="82"/>
      <c r="P107" s="85"/>
    </row>
    <row r="108">
      <c r="A108" s="94" t="s">
        <v>508</v>
      </c>
      <c r="B108" s="96" t="s">
        <v>53</v>
      </c>
      <c r="C108" s="58" t="s">
        <v>546</v>
      </c>
      <c r="D108" s="126">
        <v>100.0</v>
      </c>
      <c r="E108" s="60">
        <v>15.0</v>
      </c>
      <c r="F108" s="98">
        <f t="shared" si="1"/>
        <v>1</v>
      </c>
      <c r="G108" s="68">
        <f t="shared" si="2"/>
        <v>15</v>
      </c>
      <c r="H108" s="68">
        <f t="shared" si="3"/>
        <v>0</v>
      </c>
      <c r="I108" s="72">
        <f t="shared" si="9"/>
        <v>0</v>
      </c>
      <c r="J108" s="73">
        <v>1.0</v>
      </c>
      <c r="K108" s="74"/>
      <c r="L108" s="75">
        <v>0.21</v>
      </c>
      <c r="M108" s="127">
        <v>0.052</v>
      </c>
      <c r="N108" s="79"/>
      <c r="O108" s="82"/>
      <c r="P108" s="85"/>
    </row>
    <row r="109">
      <c r="A109" s="94"/>
      <c r="B109" s="96"/>
      <c r="C109" s="159" t="s">
        <v>515</v>
      </c>
      <c r="D109" s="126">
        <v>20.0</v>
      </c>
      <c r="E109" s="60">
        <v>2.0</v>
      </c>
      <c r="F109" s="98">
        <f t="shared" si="1"/>
        <v>1</v>
      </c>
      <c r="G109" s="68">
        <f t="shared" si="2"/>
        <v>2</v>
      </c>
      <c r="H109" s="68">
        <f t="shared" si="3"/>
        <v>0</v>
      </c>
      <c r="I109" s="72">
        <f t="shared" si="9"/>
        <v>0</v>
      </c>
      <c r="J109" s="73">
        <v>1.0</v>
      </c>
      <c r="K109" s="74"/>
      <c r="L109" s="75">
        <v>0.21</v>
      </c>
      <c r="M109" s="127">
        <v>0.052</v>
      </c>
      <c r="N109" s="79"/>
      <c r="O109" s="82"/>
      <c r="P109" s="85"/>
    </row>
    <row r="110">
      <c r="A110" s="94" t="s">
        <v>508</v>
      </c>
      <c r="B110" s="96" t="s">
        <v>53</v>
      </c>
      <c r="C110" s="58" t="s">
        <v>551</v>
      </c>
      <c r="D110" s="126">
        <v>100.0</v>
      </c>
      <c r="E110" s="60">
        <v>8.0</v>
      </c>
      <c r="F110" s="98">
        <f t="shared" si="1"/>
        <v>1</v>
      </c>
      <c r="G110" s="68">
        <f t="shared" si="2"/>
        <v>8</v>
      </c>
      <c r="H110" s="68">
        <f t="shared" si="3"/>
        <v>0</v>
      </c>
      <c r="I110" s="72">
        <f t="shared" si="9"/>
        <v>0</v>
      </c>
      <c r="J110" s="73">
        <v>1.0</v>
      </c>
      <c r="K110" s="74"/>
      <c r="L110" s="75">
        <v>0.21</v>
      </c>
      <c r="M110" s="127">
        <v>0.052</v>
      </c>
      <c r="N110" s="79"/>
      <c r="O110" s="82"/>
      <c r="P110" s="85"/>
    </row>
    <row r="111">
      <c r="A111" s="94"/>
      <c r="B111" s="96"/>
      <c r="C111" s="159" t="s">
        <v>515</v>
      </c>
      <c r="D111" s="126">
        <v>20.0</v>
      </c>
      <c r="E111" s="60">
        <v>1.5</v>
      </c>
      <c r="F111" s="98">
        <f t="shared" si="1"/>
        <v>1</v>
      </c>
      <c r="G111" s="68">
        <f t="shared" si="2"/>
        <v>1.5</v>
      </c>
      <c r="H111" s="68">
        <f t="shared" si="3"/>
        <v>0</v>
      </c>
      <c r="I111" s="72">
        <f t="shared" si="9"/>
        <v>0</v>
      </c>
      <c r="J111" s="73">
        <v>1.0</v>
      </c>
      <c r="K111" s="74"/>
      <c r="L111" s="75">
        <v>0.21</v>
      </c>
      <c r="M111" s="127">
        <v>0.052</v>
      </c>
      <c r="N111" s="79"/>
      <c r="O111" s="82"/>
      <c r="P111" s="85"/>
    </row>
    <row r="112">
      <c r="A112" s="94" t="s">
        <v>508</v>
      </c>
      <c r="B112" s="96" t="s">
        <v>529</v>
      </c>
      <c r="C112" s="58" t="s">
        <v>555</v>
      </c>
      <c r="D112" s="126">
        <v>100.0</v>
      </c>
      <c r="E112" s="60">
        <v>15.0</v>
      </c>
      <c r="F112" s="98">
        <f t="shared" si="1"/>
        <v>0.3858266667</v>
      </c>
      <c r="G112" s="68">
        <f t="shared" si="2"/>
        <v>5.7874</v>
      </c>
      <c r="H112" s="68">
        <f t="shared" si="3"/>
        <v>9.2126</v>
      </c>
      <c r="I112" s="72">
        <v>7.3</v>
      </c>
      <c r="J112" s="73">
        <v>1.0</v>
      </c>
      <c r="K112" s="74">
        <v>7.3</v>
      </c>
      <c r="L112" s="75">
        <v>0.21</v>
      </c>
      <c r="M112" s="127">
        <v>0.052</v>
      </c>
      <c r="N112" s="79" t="s">
        <v>147</v>
      </c>
      <c r="O112" s="82"/>
      <c r="P112" s="85"/>
    </row>
    <row r="113">
      <c r="A113" s="94"/>
      <c r="B113" s="96"/>
      <c r="C113" s="159" t="s">
        <v>515</v>
      </c>
      <c r="D113" s="126">
        <v>20.0</v>
      </c>
      <c r="E113" s="60">
        <v>2.0</v>
      </c>
      <c r="F113" s="98">
        <f t="shared" si="1"/>
        <v>0.07874</v>
      </c>
      <c r="G113" s="68">
        <f t="shared" si="2"/>
        <v>0.15748</v>
      </c>
      <c r="H113" s="68">
        <f t="shared" si="3"/>
        <v>1.84252</v>
      </c>
      <c r="I113" s="72">
        <f t="shared" ref="I113:I119" si="10">K113/J113</f>
        <v>1.46</v>
      </c>
      <c r="J113" s="73">
        <v>5.0</v>
      </c>
      <c r="K113" s="74">
        <v>7.3</v>
      </c>
      <c r="L113" s="75">
        <v>0.21</v>
      </c>
      <c r="M113" s="127">
        <v>0.052</v>
      </c>
      <c r="N113" s="79" t="s">
        <v>147</v>
      </c>
      <c r="O113" s="82"/>
      <c r="P113" s="85"/>
    </row>
    <row r="114">
      <c r="A114" s="94" t="s">
        <v>508</v>
      </c>
      <c r="B114" s="96" t="s">
        <v>565</v>
      </c>
      <c r="C114" s="58" t="s">
        <v>566</v>
      </c>
      <c r="D114" s="126">
        <v>27.0</v>
      </c>
      <c r="E114" s="60">
        <v>2.0</v>
      </c>
      <c r="F114" s="98">
        <f t="shared" si="1"/>
        <v>0.3164166667</v>
      </c>
      <c r="G114" s="68">
        <f t="shared" si="2"/>
        <v>0.6328333333</v>
      </c>
      <c r="H114" s="68">
        <f t="shared" si="3"/>
        <v>1.367166667</v>
      </c>
      <c r="I114" s="72">
        <f t="shared" si="10"/>
        <v>1.083333333</v>
      </c>
      <c r="J114" s="73">
        <v>24.0</v>
      </c>
      <c r="K114" s="74">
        <v>26.0</v>
      </c>
      <c r="L114" s="75">
        <v>0.21</v>
      </c>
      <c r="M114" s="127">
        <v>0.052</v>
      </c>
      <c r="N114" s="79" t="s">
        <v>131</v>
      </c>
      <c r="O114" s="82"/>
      <c r="P114" s="85"/>
    </row>
    <row r="115">
      <c r="A115" s="94" t="s">
        <v>508</v>
      </c>
      <c r="B115" s="96" t="s">
        <v>565</v>
      </c>
      <c r="C115" s="58" t="s">
        <v>569</v>
      </c>
      <c r="D115" s="126">
        <v>30.0</v>
      </c>
      <c r="E115" s="60">
        <v>1.8</v>
      </c>
      <c r="F115" s="98">
        <f t="shared" si="1"/>
        <v>1</v>
      </c>
      <c r="G115" s="68">
        <f t="shared" si="2"/>
        <v>1.8</v>
      </c>
      <c r="H115" s="68">
        <f t="shared" si="3"/>
        <v>0</v>
      </c>
      <c r="I115" s="72">
        <f t="shared" si="10"/>
        <v>0</v>
      </c>
      <c r="J115" s="73">
        <v>1.0</v>
      </c>
      <c r="K115" s="74"/>
      <c r="L115" s="75">
        <v>0.21</v>
      </c>
      <c r="M115" s="127">
        <v>0.052</v>
      </c>
      <c r="N115" s="79"/>
      <c r="O115" s="82"/>
      <c r="P115" s="85"/>
    </row>
    <row r="116">
      <c r="A116" s="94" t="s">
        <v>508</v>
      </c>
      <c r="B116" s="96" t="s">
        <v>565</v>
      </c>
      <c r="C116" s="58" t="s">
        <v>572</v>
      </c>
      <c r="D116" s="126">
        <v>2000.0</v>
      </c>
      <c r="E116" s="60">
        <v>7.0</v>
      </c>
      <c r="F116" s="98">
        <f t="shared" si="1"/>
        <v>1</v>
      </c>
      <c r="G116" s="68">
        <f t="shared" si="2"/>
        <v>7</v>
      </c>
      <c r="H116" s="68">
        <f t="shared" si="3"/>
        <v>0</v>
      </c>
      <c r="I116" s="72">
        <f t="shared" si="10"/>
        <v>0</v>
      </c>
      <c r="J116" s="73">
        <v>1.0</v>
      </c>
      <c r="K116" s="74"/>
      <c r="L116" s="75">
        <v>0.21</v>
      </c>
      <c r="M116" s="127">
        <v>0.052</v>
      </c>
      <c r="N116" s="79"/>
      <c r="O116" s="82"/>
      <c r="P116" s="85"/>
    </row>
    <row r="117">
      <c r="A117" s="94"/>
      <c r="B117" s="96"/>
      <c r="C117" s="159" t="s">
        <v>515</v>
      </c>
      <c r="D117" s="126">
        <v>20.0</v>
      </c>
      <c r="E117" s="60">
        <v>1.6</v>
      </c>
      <c r="F117" s="98">
        <f t="shared" si="1"/>
        <v>1</v>
      </c>
      <c r="G117" s="68">
        <f t="shared" si="2"/>
        <v>1.6</v>
      </c>
      <c r="H117" s="68">
        <f t="shared" si="3"/>
        <v>0</v>
      </c>
      <c r="I117" s="72">
        <f t="shared" si="10"/>
        <v>0</v>
      </c>
      <c r="J117" s="73">
        <v>1.0</v>
      </c>
      <c r="K117" s="74"/>
      <c r="L117" s="75">
        <v>0.21</v>
      </c>
      <c r="M117" s="127">
        <v>0.052</v>
      </c>
      <c r="N117" s="79"/>
      <c r="O117" s="82"/>
      <c r="P117" s="85"/>
    </row>
    <row r="118">
      <c r="A118" s="94"/>
      <c r="B118" s="96"/>
      <c r="C118" s="159" t="s">
        <v>367</v>
      </c>
      <c r="D118" s="126">
        <v>50.0</v>
      </c>
      <c r="E118" s="60">
        <v>3.0</v>
      </c>
      <c r="F118" s="98">
        <f t="shared" si="1"/>
        <v>1</v>
      </c>
      <c r="G118" s="68">
        <f t="shared" si="2"/>
        <v>3</v>
      </c>
      <c r="H118" s="68">
        <f t="shared" si="3"/>
        <v>0</v>
      </c>
      <c r="I118" s="72">
        <f t="shared" si="10"/>
        <v>0</v>
      </c>
      <c r="J118" s="73">
        <v>1.0</v>
      </c>
      <c r="K118" s="74"/>
      <c r="L118" s="75">
        <v>0.21</v>
      </c>
      <c r="M118" s="127">
        <v>0.052</v>
      </c>
      <c r="N118" s="79"/>
      <c r="O118" s="82"/>
      <c r="P118" s="85"/>
    </row>
    <row r="119">
      <c r="A119" s="94" t="s">
        <v>508</v>
      </c>
      <c r="B119" s="96" t="s">
        <v>53</v>
      </c>
      <c r="C119" s="58" t="s">
        <v>577</v>
      </c>
      <c r="D119" s="126">
        <v>100.0</v>
      </c>
      <c r="E119" s="60">
        <v>6.0</v>
      </c>
      <c r="F119" s="98">
        <f t="shared" si="1"/>
        <v>0.369</v>
      </c>
      <c r="G119" s="68">
        <f t="shared" si="2"/>
        <v>2.214</v>
      </c>
      <c r="H119" s="68">
        <f t="shared" si="3"/>
        <v>3.786</v>
      </c>
      <c r="I119" s="72">
        <f t="shared" si="10"/>
        <v>3</v>
      </c>
      <c r="J119" s="73">
        <v>1.0</v>
      </c>
      <c r="K119" s="74">
        <v>3.0</v>
      </c>
      <c r="L119" s="75">
        <v>0.21</v>
      </c>
      <c r="M119" s="127">
        <v>0.052</v>
      </c>
      <c r="N119" s="79"/>
      <c r="O119" s="82"/>
      <c r="P119" s="85"/>
    </row>
    <row r="120">
      <c r="A120" s="94"/>
      <c r="B120" s="96"/>
      <c r="C120" s="159" t="s">
        <v>515</v>
      </c>
      <c r="D120" s="126">
        <v>20.0</v>
      </c>
      <c r="E120" s="60">
        <v>1.5</v>
      </c>
      <c r="F120" s="98">
        <f t="shared" si="1"/>
        <v>0.4952</v>
      </c>
      <c r="G120" s="68">
        <f t="shared" si="2"/>
        <v>0.7428</v>
      </c>
      <c r="H120" s="68">
        <f t="shared" si="3"/>
        <v>0.7572</v>
      </c>
      <c r="I120" s="72">
        <f>($I$119*D120)/$D$119</f>
        <v>0.6</v>
      </c>
      <c r="J120" s="73">
        <v>1.0</v>
      </c>
      <c r="K120" s="74"/>
      <c r="L120" s="75">
        <v>0.21</v>
      </c>
      <c r="M120" s="127">
        <v>0.052</v>
      </c>
      <c r="N120" s="79"/>
      <c r="O120" s="82"/>
      <c r="P120" s="85"/>
    </row>
    <row r="121">
      <c r="A121" s="94" t="s">
        <v>508</v>
      </c>
      <c r="B121" s="96" t="s">
        <v>509</v>
      </c>
      <c r="C121" s="58" t="s">
        <v>584</v>
      </c>
      <c r="D121" s="126">
        <v>100.0</v>
      </c>
      <c r="E121" s="60">
        <v>6.0</v>
      </c>
      <c r="F121" s="98">
        <f t="shared" si="1"/>
        <v>1</v>
      </c>
      <c r="G121" s="68">
        <f t="shared" si="2"/>
        <v>6</v>
      </c>
      <c r="H121" s="68">
        <f t="shared" si="3"/>
        <v>0</v>
      </c>
      <c r="I121" s="200"/>
      <c r="J121" s="73">
        <v>1.0</v>
      </c>
      <c r="K121" s="74"/>
      <c r="L121" s="75">
        <v>0.21</v>
      </c>
      <c r="M121" s="127">
        <v>0.052</v>
      </c>
      <c r="N121" s="79"/>
      <c r="O121" s="82"/>
      <c r="P121" s="85"/>
    </row>
    <row r="122">
      <c r="A122" s="94"/>
      <c r="B122" s="96"/>
      <c r="C122" s="159" t="s">
        <v>515</v>
      </c>
      <c r="D122" s="126">
        <v>20.0</v>
      </c>
      <c r="E122" s="60">
        <v>1.5</v>
      </c>
      <c r="F122" s="98">
        <f t="shared" si="1"/>
        <v>1</v>
      </c>
      <c r="G122" s="68">
        <f t="shared" si="2"/>
        <v>1.5</v>
      </c>
      <c r="H122" s="68">
        <f t="shared" si="3"/>
        <v>0</v>
      </c>
      <c r="I122" s="200"/>
      <c r="J122" s="73">
        <v>1.0</v>
      </c>
      <c r="K122" s="74"/>
      <c r="L122" s="75">
        <v>0.21</v>
      </c>
      <c r="M122" s="127">
        <v>0.052</v>
      </c>
      <c r="N122" s="79"/>
      <c r="O122" s="82"/>
      <c r="P122" s="85"/>
    </row>
    <row r="123">
      <c r="A123" s="94" t="s">
        <v>508</v>
      </c>
      <c r="B123" s="96" t="s">
        <v>590</v>
      </c>
      <c r="C123" s="58" t="s">
        <v>591</v>
      </c>
      <c r="D123" s="126">
        <v>100.0</v>
      </c>
      <c r="E123" s="60">
        <v>6.0</v>
      </c>
      <c r="F123" s="98">
        <f t="shared" si="1"/>
        <v>1</v>
      </c>
      <c r="G123" s="68">
        <f t="shared" si="2"/>
        <v>6</v>
      </c>
      <c r="H123" s="68">
        <f t="shared" si="3"/>
        <v>0</v>
      </c>
      <c r="I123" s="200"/>
      <c r="J123" s="73">
        <v>1.0</v>
      </c>
      <c r="K123" s="74"/>
      <c r="L123" s="75">
        <v>0.21</v>
      </c>
      <c r="M123" s="127">
        <v>0.052</v>
      </c>
      <c r="N123" s="79"/>
      <c r="O123" s="82"/>
      <c r="P123" s="85"/>
    </row>
    <row r="124">
      <c r="A124" s="112"/>
      <c r="B124" s="113"/>
      <c r="C124" s="239" t="s">
        <v>515</v>
      </c>
      <c r="D124" s="115">
        <v>20.0</v>
      </c>
      <c r="E124" s="116">
        <v>1.5</v>
      </c>
      <c r="F124" s="179">
        <f t="shared" si="1"/>
        <v>1</v>
      </c>
      <c r="G124" s="117">
        <f t="shared" si="2"/>
        <v>1.5</v>
      </c>
      <c r="H124" s="117">
        <f t="shared" si="3"/>
        <v>0</v>
      </c>
      <c r="I124" s="240"/>
      <c r="J124" s="119">
        <v>1.0</v>
      </c>
      <c r="K124" s="108"/>
      <c r="L124" s="120">
        <v>0.21</v>
      </c>
      <c r="M124" s="121">
        <v>0.052</v>
      </c>
      <c r="N124" s="122"/>
      <c r="O124" s="123"/>
      <c r="P124" s="125"/>
    </row>
    <row r="125">
      <c r="A125" s="241" t="s">
        <v>598</v>
      </c>
      <c r="B125" s="242" t="s">
        <v>599</v>
      </c>
      <c r="C125" s="243" t="s">
        <v>600</v>
      </c>
      <c r="D125" s="244">
        <v>100.0</v>
      </c>
      <c r="E125" s="245">
        <v>15.0</v>
      </c>
      <c r="F125" s="246">
        <f t="shared" ref="F125:F399" si="11">G125/H125</f>
        <v>0.3869189503</v>
      </c>
      <c r="G125" s="247">
        <f t="shared" si="2"/>
        <v>4.18466</v>
      </c>
      <c r="H125" s="247">
        <f t="shared" si="3"/>
        <v>10.81534</v>
      </c>
      <c r="I125" s="248">
        <v>8.57</v>
      </c>
      <c r="J125" s="249"/>
      <c r="K125" s="250"/>
      <c r="L125" s="251">
        <v>0.21</v>
      </c>
      <c r="M125" s="253">
        <v>0.052</v>
      </c>
      <c r="N125" s="256" t="s">
        <v>604</v>
      </c>
      <c r="O125" s="197"/>
      <c r="P125" s="258"/>
    </row>
    <row r="126">
      <c r="A126" s="260"/>
      <c r="B126" s="262"/>
      <c r="C126" s="263" t="s">
        <v>608</v>
      </c>
      <c r="D126" s="265">
        <v>4.0</v>
      </c>
      <c r="E126" s="267">
        <v>1.0</v>
      </c>
      <c r="F126" s="270">
        <f t="shared" si="11"/>
        <v>1.311531584</v>
      </c>
      <c r="G126" s="272">
        <f t="shared" si="2"/>
        <v>0.5673864</v>
      </c>
      <c r="H126" s="272">
        <f t="shared" si="3"/>
        <v>0.4326136</v>
      </c>
      <c r="I126" s="276">
        <f t="shared" ref="I126:I128" si="12">($I$125*D126)/$D$125</f>
        <v>0.3428</v>
      </c>
      <c r="J126" s="278"/>
      <c r="K126" s="279"/>
      <c r="L126" s="281">
        <v>0.21</v>
      </c>
      <c r="M126" s="283">
        <v>0.052</v>
      </c>
      <c r="N126" s="286" t="s">
        <v>604</v>
      </c>
      <c r="O126" s="90"/>
      <c r="P126" s="288"/>
    </row>
    <row r="127">
      <c r="A127" s="260"/>
      <c r="B127" s="262"/>
      <c r="C127" s="263" t="s">
        <v>515</v>
      </c>
      <c r="D127" s="265">
        <v>8.0</v>
      </c>
      <c r="E127" s="267">
        <v>1.3</v>
      </c>
      <c r="F127" s="270">
        <f t="shared" si="11"/>
        <v>0.5024955295</v>
      </c>
      <c r="G127" s="272">
        <f t="shared" si="2"/>
        <v>0.4347728</v>
      </c>
      <c r="H127" s="272">
        <f t="shared" si="3"/>
        <v>0.8652272</v>
      </c>
      <c r="I127" s="276">
        <f t="shared" si="12"/>
        <v>0.6856</v>
      </c>
      <c r="J127" s="278"/>
      <c r="K127" s="279"/>
      <c r="L127" s="281">
        <v>0.21</v>
      </c>
      <c r="M127" s="283">
        <v>0.052</v>
      </c>
      <c r="N127" s="286" t="s">
        <v>604</v>
      </c>
      <c r="O127" s="90"/>
      <c r="P127" s="288"/>
    </row>
    <row r="128">
      <c r="A128" s="260"/>
      <c r="B128" s="262"/>
      <c r="C128" s="263" t="s">
        <v>615</v>
      </c>
      <c r="D128" s="265">
        <v>8.0</v>
      </c>
      <c r="E128" s="267">
        <v>1.5</v>
      </c>
      <c r="F128" s="270">
        <f t="shared" si="11"/>
        <v>0.7336486879</v>
      </c>
      <c r="G128" s="272">
        <f t="shared" si="2"/>
        <v>0.6347728</v>
      </c>
      <c r="H128" s="272">
        <f t="shared" si="3"/>
        <v>0.8652272</v>
      </c>
      <c r="I128" s="276">
        <f t="shared" si="12"/>
        <v>0.6856</v>
      </c>
      <c r="J128" s="278"/>
      <c r="K128" s="279"/>
      <c r="L128" s="281">
        <v>0.21</v>
      </c>
      <c r="M128" s="283">
        <v>0.052</v>
      </c>
      <c r="N128" s="286" t="s">
        <v>604</v>
      </c>
      <c r="O128" s="90"/>
      <c r="P128" s="288"/>
    </row>
    <row r="129">
      <c r="A129" s="241" t="s">
        <v>598</v>
      </c>
      <c r="B129" s="299" t="s">
        <v>599</v>
      </c>
      <c r="C129" s="243" t="s">
        <v>619</v>
      </c>
      <c r="D129" s="244">
        <v>100.0</v>
      </c>
      <c r="E129" s="300">
        <v>8.0</v>
      </c>
      <c r="F129" s="246">
        <f t="shared" si="11"/>
        <v>0.3223140496</v>
      </c>
      <c r="G129" s="247">
        <f t="shared" si="2"/>
        <v>1.95</v>
      </c>
      <c r="H129" s="247">
        <f t="shared" si="3"/>
        <v>6.05</v>
      </c>
      <c r="I129" s="301">
        <v>5.0</v>
      </c>
      <c r="J129" s="249"/>
      <c r="K129" s="250"/>
      <c r="L129" s="251">
        <v>0.21</v>
      </c>
      <c r="M129" s="302">
        <v>0.0</v>
      </c>
      <c r="N129" s="256" t="s">
        <v>604</v>
      </c>
      <c r="O129" s="197"/>
      <c r="P129" s="303"/>
    </row>
    <row r="130">
      <c r="A130" s="260"/>
      <c r="B130" s="262"/>
      <c r="C130" s="263" t="s">
        <v>608</v>
      </c>
      <c r="D130" s="265">
        <v>4.0</v>
      </c>
      <c r="E130" s="267">
        <v>1.0</v>
      </c>
      <c r="F130" s="270">
        <f t="shared" si="11"/>
        <v>1.410870131</v>
      </c>
      <c r="G130" s="272">
        <f t="shared" si="2"/>
        <v>0.585212</v>
      </c>
      <c r="H130" s="272">
        <f t="shared" si="3"/>
        <v>0.414788</v>
      </c>
      <c r="I130" s="276">
        <f t="shared" ref="I130:I132" si="13">($I$125*D130)/$D$125</f>
        <v>0.3428</v>
      </c>
      <c r="J130" s="278"/>
      <c r="K130" s="279"/>
      <c r="L130" s="281">
        <v>0.21</v>
      </c>
      <c r="M130" s="304">
        <v>0.0</v>
      </c>
      <c r="N130" s="286" t="s">
        <v>604</v>
      </c>
      <c r="O130" s="90"/>
      <c r="P130" s="288"/>
    </row>
    <row r="131">
      <c r="A131" s="260"/>
      <c r="B131" s="262"/>
      <c r="C131" s="263" t="s">
        <v>515</v>
      </c>
      <c r="D131" s="265">
        <v>8.0</v>
      </c>
      <c r="E131" s="267">
        <v>1.3</v>
      </c>
      <c r="F131" s="270">
        <f t="shared" si="11"/>
        <v>0.5670655853</v>
      </c>
      <c r="G131" s="272">
        <f t="shared" si="2"/>
        <v>0.470424</v>
      </c>
      <c r="H131" s="272">
        <f t="shared" si="3"/>
        <v>0.829576</v>
      </c>
      <c r="I131" s="276">
        <f t="shared" si="13"/>
        <v>0.6856</v>
      </c>
      <c r="J131" s="278"/>
      <c r="K131" s="279"/>
      <c r="L131" s="281">
        <v>0.21</v>
      </c>
      <c r="M131" s="304">
        <v>0.0</v>
      </c>
      <c r="N131" s="286" t="s">
        <v>604</v>
      </c>
      <c r="O131" s="90"/>
      <c r="P131" s="288"/>
    </row>
    <row r="132">
      <c r="A132" s="260"/>
      <c r="B132" s="262"/>
      <c r="C132" s="263" t="s">
        <v>615</v>
      </c>
      <c r="D132" s="265">
        <v>8.0</v>
      </c>
      <c r="E132" s="267">
        <v>1.5</v>
      </c>
      <c r="F132" s="270">
        <f t="shared" si="11"/>
        <v>0.8081525984</v>
      </c>
      <c r="G132" s="272">
        <f t="shared" si="2"/>
        <v>0.670424</v>
      </c>
      <c r="H132" s="272">
        <f t="shared" si="3"/>
        <v>0.829576</v>
      </c>
      <c r="I132" s="276">
        <f t="shared" si="13"/>
        <v>0.6856</v>
      </c>
      <c r="J132" s="278"/>
      <c r="K132" s="279"/>
      <c r="L132" s="281">
        <v>0.21</v>
      </c>
      <c r="M132" s="304">
        <v>0.0</v>
      </c>
      <c r="N132" s="286" t="s">
        <v>604</v>
      </c>
      <c r="O132" s="90"/>
      <c r="P132" s="288"/>
    </row>
    <row r="133">
      <c r="A133" s="181" t="s">
        <v>598</v>
      </c>
      <c r="B133" s="183" t="s">
        <v>625</v>
      </c>
      <c r="C133" s="184" t="s">
        <v>626</v>
      </c>
      <c r="D133" s="305">
        <v>100.0</v>
      </c>
      <c r="E133" s="187">
        <v>8.0</v>
      </c>
      <c r="F133" s="188">
        <f t="shared" si="11"/>
        <v>0.3223140496</v>
      </c>
      <c r="G133" s="189">
        <f t="shared" si="2"/>
        <v>1.95</v>
      </c>
      <c r="H133" s="189">
        <f t="shared" si="3"/>
        <v>6.05</v>
      </c>
      <c r="I133" s="191">
        <v>5.0</v>
      </c>
      <c r="J133" s="192"/>
      <c r="K133" s="193"/>
      <c r="L133" s="194">
        <v>0.21</v>
      </c>
      <c r="M133" s="195">
        <v>0.0</v>
      </c>
      <c r="N133" s="196" t="s">
        <v>604</v>
      </c>
      <c r="O133" s="197"/>
      <c r="P133" s="231"/>
    </row>
    <row r="134">
      <c r="A134" s="94"/>
      <c r="B134" s="96"/>
      <c r="C134" s="159" t="s">
        <v>608</v>
      </c>
      <c r="D134" s="126">
        <v>4.0</v>
      </c>
      <c r="E134" s="60">
        <v>1.0</v>
      </c>
      <c r="F134" s="98">
        <f t="shared" si="11"/>
        <v>3.132231405</v>
      </c>
      <c r="G134" s="68">
        <f t="shared" si="2"/>
        <v>0.758</v>
      </c>
      <c r="H134" s="68">
        <f t="shared" si="3"/>
        <v>0.242</v>
      </c>
      <c r="I134" s="72">
        <f t="shared" ref="I134:I136" si="14">($I$133*D134)/$D$133</f>
        <v>0.2</v>
      </c>
      <c r="J134" s="73"/>
      <c r="K134" s="74"/>
      <c r="L134" s="75">
        <v>0.21</v>
      </c>
      <c r="M134" s="76">
        <v>0.0</v>
      </c>
      <c r="N134" s="79" t="s">
        <v>604</v>
      </c>
      <c r="O134" s="82"/>
      <c r="P134" s="85"/>
    </row>
    <row r="135">
      <c r="A135" s="94"/>
      <c r="B135" s="96"/>
      <c r="C135" s="159" t="s">
        <v>515</v>
      </c>
      <c r="D135" s="126">
        <v>8.0</v>
      </c>
      <c r="E135" s="60">
        <v>1.3</v>
      </c>
      <c r="F135" s="98">
        <f t="shared" si="11"/>
        <v>1.685950413</v>
      </c>
      <c r="G135" s="68">
        <f t="shared" si="2"/>
        <v>0.816</v>
      </c>
      <c r="H135" s="68">
        <f t="shared" si="3"/>
        <v>0.484</v>
      </c>
      <c r="I135" s="72">
        <f t="shared" si="14"/>
        <v>0.4</v>
      </c>
      <c r="J135" s="73"/>
      <c r="K135" s="74"/>
      <c r="L135" s="75">
        <v>0.21</v>
      </c>
      <c r="M135" s="76">
        <v>0.0</v>
      </c>
      <c r="N135" s="79" t="s">
        <v>604</v>
      </c>
      <c r="O135" s="82"/>
      <c r="P135" s="85"/>
    </row>
    <row r="136">
      <c r="A136" s="94"/>
      <c r="B136" s="96"/>
      <c r="C136" s="159" t="s">
        <v>615</v>
      </c>
      <c r="D136" s="126">
        <v>8.0</v>
      </c>
      <c r="E136" s="60">
        <v>1.5</v>
      </c>
      <c r="F136" s="98">
        <f t="shared" si="11"/>
        <v>2.099173554</v>
      </c>
      <c r="G136" s="68">
        <f t="shared" si="2"/>
        <v>1.016</v>
      </c>
      <c r="H136" s="68">
        <f t="shared" si="3"/>
        <v>0.484</v>
      </c>
      <c r="I136" s="72">
        <f t="shared" si="14"/>
        <v>0.4</v>
      </c>
      <c r="J136" s="73"/>
      <c r="K136" s="74"/>
      <c r="L136" s="75">
        <v>0.21</v>
      </c>
      <c r="M136" s="76">
        <v>0.0</v>
      </c>
      <c r="N136" s="79" t="s">
        <v>604</v>
      </c>
      <c r="O136" s="82"/>
      <c r="P136" s="85"/>
    </row>
    <row r="137">
      <c r="A137" s="94" t="s">
        <v>598</v>
      </c>
      <c r="B137" s="96" t="s">
        <v>625</v>
      </c>
      <c r="C137" s="58" t="s">
        <v>632</v>
      </c>
      <c r="D137" s="310">
        <v>100.0</v>
      </c>
      <c r="E137" s="60">
        <v>8.0</v>
      </c>
      <c r="F137" s="98">
        <f t="shared" si="11"/>
        <v>0.3223140496</v>
      </c>
      <c r="G137" s="68">
        <f t="shared" si="2"/>
        <v>1.95</v>
      </c>
      <c r="H137" s="68">
        <f t="shared" si="3"/>
        <v>6.05</v>
      </c>
      <c r="I137" s="200">
        <v>5.0</v>
      </c>
      <c r="J137" s="73"/>
      <c r="K137" s="74"/>
      <c r="L137" s="75">
        <v>0.21</v>
      </c>
      <c r="M137" s="76">
        <v>0.0</v>
      </c>
      <c r="N137" s="314" t="s">
        <v>633</v>
      </c>
      <c r="O137" s="82"/>
      <c r="P137" s="85"/>
    </row>
    <row r="138">
      <c r="A138" s="94"/>
      <c r="B138" s="96"/>
      <c r="C138" s="159" t="s">
        <v>608</v>
      </c>
      <c r="D138" s="126">
        <v>4.0</v>
      </c>
      <c r="E138" s="60">
        <v>1.0</v>
      </c>
      <c r="F138" s="98">
        <f t="shared" si="11"/>
        <v>3.132231405</v>
      </c>
      <c r="G138" s="68">
        <f t="shared" si="2"/>
        <v>0.758</v>
      </c>
      <c r="H138" s="68">
        <f t="shared" si="3"/>
        <v>0.242</v>
      </c>
      <c r="I138" s="72">
        <f t="shared" ref="I138:I140" si="15">($I$137*D138)/$D$137</f>
        <v>0.2</v>
      </c>
      <c r="J138" s="73"/>
      <c r="K138" s="74"/>
      <c r="L138" s="75">
        <v>0.21</v>
      </c>
      <c r="M138" s="76">
        <v>0.0</v>
      </c>
      <c r="N138" s="79"/>
      <c r="O138" s="82"/>
      <c r="P138" s="85"/>
    </row>
    <row r="139">
      <c r="A139" s="94"/>
      <c r="B139" s="96"/>
      <c r="C139" s="159" t="s">
        <v>515</v>
      </c>
      <c r="D139" s="126">
        <v>8.0</v>
      </c>
      <c r="E139" s="60">
        <v>1.3</v>
      </c>
      <c r="F139" s="98">
        <f t="shared" si="11"/>
        <v>1.685950413</v>
      </c>
      <c r="G139" s="68">
        <f t="shared" si="2"/>
        <v>0.816</v>
      </c>
      <c r="H139" s="68">
        <f t="shared" si="3"/>
        <v>0.484</v>
      </c>
      <c r="I139" s="72">
        <f t="shared" si="15"/>
        <v>0.4</v>
      </c>
      <c r="J139" s="73"/>
      <c r="K139" s="74"/>
      <c r="L139" s="75">
        <v>0.21</v>
      </c>
      <c r="M139" s="76">
        <v>0.0</v>
      </c>
      <c r="N139" s="79"/>
      <c r="O139" s="82"/>
      <c r="P139" s="85"/>
    </row>
    <row r="140">
      <c r="A140" s="94"/>
      <c r="B140" s="96"/>
      <c r="C140" s="159" t="s">
        <v>615</v>
      </c>
      <c r="D140" s="126">
        <v>8.0</v>
      </c>
      <c r="E140" s="60">
        <v>1.5</v>
      </c>
      <c r="F140" s="98">
        <f t="shared" si="11"/>
        <v>2.099173554</v>
      </c>
      <c r="G140" s="68">
        <f t="shared" si="2"/>
        <v>1.016</v>
      </c>
      <c r="H140" s="68">
        <f t="shared" si="3"/>
        <v>0.484</v>
      </c>
      <c r="I140" s="72">
        <f t="shared" si="15"/>
        <v>0.4</v>
      </c>
      <c r="J140" s="73"/>
      <c r="K140" s="74"/>
      <c r="L140" s="75">
        <v>0.21</v>
      </c>
      <c r="M140" s="76">
        <v>0.0</v>
      </c>
      <c r="N140" s="79"/>
      <c r="O140" s="82"/>
      <c r="P140" s="85"/>
    </row>
    <row r="141">
      <c r="A141" s="94" t="s">
        <v>598</v>
      </c>
      <c r="B141" s="96" t="s">
        <v>647</v>
      </c>
      <c r="C141" s="58" t="s">
        <v>648</v>
      </c>
      <c r="D141" s="310">
        <v>70.0</v>
      </c>
      <c r="E141" s="60">
        <v>8.0</v>
      </c>
      <c r="F141" s="98">
        <f t="shared" si="11"/>
        <v>0.3223140496</v>
      </c>
      <c r="G141" s="68">
        <f t="shared" si="2"/>
        <v>1.95</v>
      </c>
      <c r="H141" s="68">
        <f t="shared" si="3"/>
        <v>6.05</v>
      </c>
      <c r="I141" s="200">
        <v>5.0</v>
      </c>
      <c r="J141" s="73"/>
      <c r="K141" s="74"/>
      <c r="L141" s="75">
        <v>0.21</v>
      </c>
      <c r="M141" s="76">
        <v>0.0</v>
      </c>
      <c r="N141" s="79" t="s">
        <v>651</v>
      </c>
      <c r="O141" s="82"/>
      <c r="P141" s="85"/>
    </row>
    <row r="142">
      <c r="A142" s="94"/>
      <c r="B142" s="96"/>
      <c r="C142" s="159" t="s">
        <v>608</v>
      </c>
      <c r="D142" s="126">
        <v>4.0</v>
      </c>
      <c r="E142" s="60">
        <v>1.0</v>
      </c>
      <c r="F142" s="98">
        <f t="shared" si="11"/>
        <v>1.892561983</v>
      </c>
      <c r="G142" s="68">
        <f t="shared" si="2"/>
        <v>0.6542857143</v>
      </c>
      <c r="H142" s="68">
        <f t="shared" si="3"/>
        <v>0.3457142857</v>
      </c>
      <c r="I142" s="72">
        <f t="shared" ref="I142:I144" si="16">($I$141*D142)/$D$141</f>
        <v>0.2857142857</v>
      </c>
      <c r="J142" s="73"/>
      <c r="K142" s="74"/>
      <c r="L142" s="75">
        <v>0.21</v>
      </c>
      <c r="M142" s="76">
        <v>0.0</v>
      </c>
      <c r="N142" s="79" t="s">
        <v>651</v>
      </c>
      <c r="O142" s="82"/>
      <c r="P142" s="85"/>
    </row>
    <row r="143">
      <c r="A143" s="94"/>
      <c r="B143" s="96"/>
      <c r="C143" s="159" t="s">
        <v>515</v>
      </c>
      <c r="D143" s="126">
        <v>8.0</v>
      </c>
      <c r="E143" s="60">
        <v>1.3</v>
      </c>
      <c r="F143" s="98">
        <f t="shared" si="11"/>
        <v>0.8801652893</v>
      </c>
      <c r="G143" s="68">
        <f t="shared" si="2"/>
        <v>0.6085714286</v>
      </c>
      <c r="H143" s="68">
        <f t="shared" si="3"/>
        <v>0.6914285714</v>
      </c>
      <c r="I143" s="72">
        <f t="shared" si="16"/>
        <v>0.5714285714</v>
      </c>
      <c r="J143" s="73"/>
      <c r="K143" s="74"/>
      <c r="L143" s="75">
        <v>0.21</v>
      </c>
      <c r="M143" s="76">
        <v>0.0</v>
      </c>
      <c r="N143" s="79" t="s">
        <v>651</v>
      </c>
      <c r="O143" s="82"/>
      <c r="P143" s="85"/>
    </row>
    <row r="144">
      <c r="A144" s="94"/>
      <c r="B144" s="96"/>
      <c r="C144" s="159" t="s">
        <v>615</v>
      </c>
      <c r="D144" s="126">
        <v>8.0</v>
      </c>
      <c r="E144" s="60">
        <v>1.5</v>
      </c>
      <c r="F144" s="98">
        <f t="shared" si="11"/>
        <v>1.169421488</v>
      </c>
      <c r="G144" s="68">
        <f t="shared" si="2"/>
        <v>0.8085714286</v>
      </c>
      <c r="H144" s="68">
        <f t="shared" si="3"/>
        <v>0.6914285714</v>
      </c>
      <c r="I144" s="72">
        <f t="shared" si="16"/>
        <v>0.5714285714</v>
      </c>
      <c r="J144" s="73"/>
      <c r="K144" s="74"/>
      <c r="L144" s="75">
        <v>0.21</v>
      </c>
      <c r="M144" s="76">
        <v>0.0</v>
      </c>
      <c r="N144" s="79" t="s">
        <v>651</v>
      </c>
      <c r="O144" s="82"/>
      <c r="P144" s="85"/>
    </row>
    <row r="145">
      <c r="A145" s="94" t="s">
        <v>598</v>
      </c>
      <c r="B145" s="96" t="s">
        <v>625</v>
      </c>
      <c r="C145" s="58" t="s">
        <v>660</v>
      </c>
      <c r="D145" s="310">
        <v>100.0</v>
      </c>
      <c r="E145" s="60">
        <v>8.0</v>
      </c>
      <c r="F145" s="98">
        <f t="shared" si="11"/>
        <v>0.1019283747</v>
      </c>
      <c r="G145" s="68">
        <f t="shared" si="2"/>
        <v>0.74</v>
      </c>
      <c r="H145" s="68">
        <f t="shared" si="3"/>
        <v>7.26</v>
      </c>
      <c r="I145" s="200">
        <v>6.0</v>
      </c>
      <c r="J145" s="73"/>
      <c r="K145" s="74"/>
      <c r="L145" s="75">
        <v>0.21</v>
      </c>
      <c r="M145" s="76">
        <v>0.0</v>
      </c>
      <c r="N145" s="314" t="s">
        <v>661</v>
      </c>
      <c r="O145" s="82"/>
      <c r="P145" s="85"/>
    </row>
    <row r="146">
      <c r="A146" s="94"/>
      <c r="B146" s="96"/>
      <c r="C146" s="159" t="s">
        <v>608</v>
      </c>
      <c r="D146" s="126">
        <v>4.0</v>
      </c>
      <c r="E146" s="60">
        <v>1.0</v>
      </c>
      <c r="F146" s="98">
        <f t="shared" si="11"/>
        <v>2.443526171</v>
      </c>
      <c r="G146" s="68">
        <f t="shared" si="2"/>
        <v>0.7096</v>
      </c>
      <c r="H146" s="68">
        <f t="shared" si="3"/>
        <v>0.2904</v>
      </c>
      <c r="I146" s="72">
        <f t="shared" ref="I146:I148" si="17">($I$145*D146)/$D$145</f>
        <v>0.24</v>
      </c>
      <c r="J146" s="73"/>
      <c r="K146" s="74"/>
      <c r="L146" s="75">
        <v>0.21</v>
      </c>
      <c r="M146" s="76">
        <v>0.0</v>
      </c>
      <c r="N146" s="79"/>
      <c r="O146" s="82"/>
      <c r="P146" s="85"/>
    </row>
    <row r="147">
      <c r="A147" s="94"/>
      <c r="B147" s="96"/>
      <c r="C147" s="159" t="s">
        <v>515</v>
      </c>
      <c r="D147" s="126">
        <v>8.0</v>
      </c>
      <c r="E147" s="60">
        <v>1.3</v>
      </c>
      <c r="F147" s="98">
        <f t="shared" si="11"/>
        <v>1.238292011</v>
      </c>
      <c r="G147" s="68">
        <f t="shared" si="2"/>
        <v>0.7192</v>
      </c>
      <c r="H147" s="68">
        <f t="shared" si="3"/>
        <v>0.5808</v>
      </c>
      <c r="I147" s="72">
        <f t="shared" si="17"/>
        <v>0.48</v>
      </c>
      <c r="J147" s="73"/>
      <c r="K147" s="74"/>
      <c r="L147" s="75">
        <v>0.21</v>
      </c>
      <c r="M147" s="76">
        <v>0.0</v>
      </c>
      <c r="N147" s="79"/>
      <c r="O147" s="82"/>
      <c r="P147" s="85"/>
    </row>
    <row r="148">
      <c r="A148" s="94"/>
      <c r="B148" s="96"/>
      <c r="C148" s="159" t="s">
        <v>615</v>
      </c>
      <c r="D148" s="126">
        <v>8.0</v>
      </c>
      <c r="E148" s="60">
        <v>1.5</v>
      </c>
      <c r="F148" s="98">
        <f t="shared" si="11"/>
        <v>1.582644628</v>
      </c>
      <c r="G148" s="68">
        <f t="shared" si="2"/>
        <v>0.9192</v>
      </c>
      <c r="H148" s="68">
        <f t="shared" si="3"/>
        <v>0.5808</v>
      </c>
      <c r="I148" s="72">
        <f t="shared" si="17"/>
        <v>0.48</v>
      </c>
      <c r="J148" s="73"/>
      <c r="K148" s="74"/>
      <c r="L148" s="75">
        <v>0.21</v>
      </c>
      <c r="M148" s="76">
        <v>0.0</v>
      </c>
      <c r="N148" s="79"/>
      <c r="O148" s="82"/>
      <c r="P148" s="85"/>
    </row>
    <row r="149">
      <c r="A149" s="160" t="s">
        <v>598</v>
      </c>
      <c r="B149" s="161" t="s">
        <v>672</v>
      </c>
      <c r="C149" s="319" t="s">
        <v>674</v>
      </c>
      <c r="D149" s="320">
        <v>300.0</v>
      </c>
      <c r="E149" s="234">
        <v>25.0</v>
      </c>
      <c r="F149" s="165">
        <f t="shared" si="11"/>
        <v>0.1742635254</v>
      </c>
      <c r="G149" s="166">
        <f t="shared" si="2"/>
        <v>3.71006</v>
      </c>
      <c r="H149" s="166">
        <f t="shared" si="3"/>
        <v>21.28994</v>
      </c>
      <c r="I149" s="321">
        <v>16.87</v>
      </c>
      <c r="J149" s="322">
        <v>1.0</v>
      </c>
      <c r="K149" s="169"/>
      <c r="L149" s="170">
        <v>0.21</v>
      </c>
      <c r="M149" s="238">
        <v>0.052</v>
      </c>
      <c r="N149" s="206" t="s">
        <v>448</v>
      </c>
      <c r="O149" s="82"/>
      <c r="P149" s="190"/>
    </row>
    <row r="150">
      <c r="A150" s="307"/>
      <c r="B150" s="308"/>
      <c r="C150" s="263" t="s">
        <v>608</v>
      </c>
      <c r="D150" s="265">
        <v>4.0</v>
      </c>
      <c r="E150" s="267">
        <v>1.0</v>
      </c>
      <c r="F150" s="270">
        <f t="shared" si="11"/>
        <v>2.522790576</v>
      </c>
      <c r="G150" s="272">
        <f t="shared" si="2"/>
        <v>0.7161341333</v>
      </c>
      <c r="H150" s="272">
        <f t="shared" si="3"/>
        <v>0.2838658667</v>
      </c>
      <c r="I150" s="276">
        <f t="shared" ref="I150:I152" si="18">($I$149*D150)/$D$149</f>
        <v>0.2249333333</v>
      </c>
      <c r="J150" s="278"/>
      <c r="K150" s="279"/>
      <c r="L150" s="281">
        <v>0.21</v>
      </c>
      <c r="M150" s="283">
        <v>0.052</v>
      </c>
      <c r="N150" s="323" t="s">
        <v>448</v>
      </c>
      <c r="O150" s="90"/>
      <c r="P150" s="288"/>
    </row>
    <row r="151">
      <c r="A151" s="307"/>
      <c r="B151" s="308"/>
      <c r="C151" s="263" t="s">
        <v>515</v>
      </c>
      <c r="D151" s="265">
        <v>8.0</v>
      </c>
      <c r="E151" s="267">
        <v>1.5</v>
      </c>
      <c r="F151" s="270">
        <f t="shared" si="11"/>
        <v>1.642092932</v>
      </c>
      <c r="G151" s="272">
        <f t="shared" si="2"/>
        <v>0.9322682667</v>
      </c>
      <c r="H151" s="272">
        <f t="shared" si="3"/>
        <v>0.5677317333</v>
      </c>
      <c r="I151" s="276">
        <f t="shared" si="18"/>
        <v>0.4498666667</v>
      </c>
      <c r="J151" s="278"/>
      <c r="K151" s="279"/>
      <c r="L151" s="281">
        <v>0.21</v>
      </c>
      <c r="M151" s="283">
        <v>0.052</v>
      </c>
      <c r="N151" s="323" t="s">
        <v>448</v>
      </c>
      <c r="O151" s="90"/>
      <c r="P151" s="288"/>
    </row>
    <row r="152">
      <c r="A152" s="307"/>
      <c r="B152" s="308"/>
      <c r="C152" s="263" t="s">
        <v>615</v>
      </c>
      <c r="D152" s="324">
        <v>10.0</v>
      </c>
      <c r="E152" s="267">
        <v>2.5</v>
      </c>
      <c r="F152" s="270">
        <f t="shared" si="11"/>
        <v>2.522790576</v>
      </c>
      <c r="G152" s="272">
        <f t="shared" si="2"/>
        <v>1.790335333</v>
      </c>
      <c r="H152" s="272">
        <f t="shared" si="3"/>
        <v>0.7096646667</v>
      </c>
      <c r="I152" s="276">
        <f t="shared" si="18"/>
        <v>0.5623333333</v>
      </c>
      <c r="J152" s="278"/>
      <c r="K152" s="279"/>
      <c r="L152" s="281">
        <v>0.21</v>
      </c>
      <c r="M152" s="283">
        <v>0.052</v>
      </c>
      <c r="N152" s="323" t="s">
        <v>448</v>
      </c>
      <c r="O152" s="90"/>
      <c r="P152" s="288"/>
    </row>
    <row r="153">
      <c r="A153" s="94" t="s">
        <v>598</v>
      </c>
      <c r="B153" s="96" t="s">
        <v>672</v>
      </c>
      <c r="C153" s="58" t="s">
        <v>682</v>
      </c>
      <c r="D153" s="310">
        <v>100.0</v>
      </c>
      <c r="E153" s="60">
        <v>20.0</v>
      </c>
      <c r="F153" s="98">
        <f t="shared" si="11"/>
        <v>0.3780748295</v>
      </c>
      <c r="G153" s="68">
        <f t="shared" si="2"/>
        <v>5.487</v>
      </c>
      <c r="H153" s="68">
        <f t="shared" si="3"/>
        <v>14.513</v>
      </c>
      <c r="I153" s="200">
        <v>11.5</v>
      </c>
      <c r="J153" s="73">
        <v>1.0</v>
      </c>
      <c r="K153" s="74"/>
      <c r="L153" s="75">
        <v>0.21</v>
      </c>
      <c r="M153" s="127">
        <v>0.052</v>
      </c>
      <c r="N153" s="79" t="s">
        <v>152</v>
      </c>
      <c r="O153" s="82"/>
      <c r="P153" s="85" t="s">
        <v>684</v>
      </c>
    </row>
    <row r="154">
      <c r="A154" s="94"/>
      <c r="B154" s="96"/>
      <c r="C154" s="159" t="s">
        <v>608</v>
      </c>
      <c r="D154" s="126">
        <v>4.0</v>
      </c>
      <c r="E154" s="60">
        <v>1.0</v>
      </c>
      <c r="F154" s="98">
        <f t="shared" si="11"/>
        <v>0.7225935368</v>
      </c>
      <c r="G154" s="68">
        <f t="shared" si="2"/>
        <v>0.41948</v>
      </c>
      <c r="H154" s="68">
        <f t="shared" si="3"/>
        <v>0.58052</v>
      </c>
      <c r="I154" s="72">
        <f t="shared" ref="I154:I156" si="19">($I$153*D154)/$D$153</f>
        <v>0.46</v>
      </c>
      <c r="J154" s="73"/>
      <c r="K154" s="74"/>
      <c r="L154" s="75">
        <v>0.21</v>
      </c>
      <c r="M154" s="127">
        <v>0.052</v>
      </c>
      <c r="N154" s="79" t="s">
        <v>152</v>
      </c>
      <c r="O154" s="82"/>
      <c r="P154" s="85"/>
    </row>
    <row r="155">
      <c r="A155" s="94"/>
      <c r="B155" s="96"/>
      <c r="C155" s="159" t="s">
        <v>515</v>
      </c>
      <c r="D155" s="126">
        <v>8.0</v>
      </c>
      <c r="E155" s="60">
        <v>2.0</v>
      </c>
      <c r="F155" s="98">
        <f t="shared" si="11"/>
        <v>0.7225935368</v>
      </c>
      <c r="G155" s="68">
        <f t="shared" si="2"/>
        <v>0.83896</v>
      </c>
      <c r="H155" s="68">
        <f t="shared" si="3"/>
        <v>1.16104</v>
      </c>
      <c r="I155" s="72">
        <f t="shared" si="19"/>
        <v>0.92</v>
      </c>
      <c r="J155" s="73"/>
      <c r="K155" s="74"/>
      <c r="L155" s="75">
        <v>0.21</v>
      </c>
      <c r="M155" s="127">
        <v>0.052</v>
      </c>
      <c r="N155" s="79" t="s">
        <v>152</v>
      </c>
      <c r="O155" s="82"/>
      <c r="P155" s="85"/>
    </row>
    <row r="156">
      <c r="A156" s="94"/>
      <c r="B156" s="96"/>
      <c r="C156" s="159" t="s">
        <v>615</v>
      </c>
      <c r="D156" s="126">
        <v>8.0</v>
      </c>
      <c r="E156" s="60">
        <v>3.0</v>
      </c>
      <c r="F156" s="98">
        <f t="shared" si="11"/>
        <v>1.583890305</v>
      </c>
      <c r="G156" s="68">
        <f t="shared" si="2"/>
        <v>1.83896</v>
      </c>
      <c r="H156" s="68">
        <f t="shared" si="3"/>
        <v>1.16104</v>
      </c>
      <c r="I156" s="72">
        <f t="shared" si="19"/>
        <v>0.92</v>
      </c>
      <c r="J156" s="73"/>
      <c r="K156" s="74"/>
      <c r="L156" s="75">
        <v>0.21</v>
      </c>
      <c r="M156" s="127">
        <v>0.052</v>
      </c>
      <c r="N156" s="79" t="s">
        <v>152</v>
      </c>
      <c r="O156" s="82"/>
      <c r="P156" s="85"/>
    </row>
    <row r="157" outlineLevel="1">
      <c r="A157" s="94" t="s">
        <v>598</v>
      </c>
      <c r="B157" s="96"/>
      <c r="C157" s="58" t="s">
        <v>682</v>
      </c>
      <c r="D157" s="310">
        <v>70.0</v>
      </c>
      <c r="E157" s="60">
        <v>15.0</v>
      </c>
      <c r="F157" s="98">
        <f t="shared" si="11"/>
        <v>0.2947598479</v>
      </c>
      <c r="G157" s="68">
        <f t="shared" si="2"/>
        <v>3.41484</v>
      </c>
      <c r="H157" s="68">
        <f t="shared" si="3"/>
        <v>11.58516</v>
      </c>
      <c r="I157" s="200">
        <v>9.18</v>
      </c>
      <c r="J157" s="73">
        <v>1.0</v>
      </c>
      <c r="K157" s="74"/>
      <c r="L157" s="75">
        <v>0.21</v>
      </c>
      <c r="M157" s="127">
        <v>0.052</v>
      </c>
      <c r="N157" s="79" t="s">
        <v>448</v>
      </c>
      <c r="O157" s="82"/>
      <c r="P157" s="85"/>
    </row>
    <row r="158" outlineLevel="1">
      <c r="A158" s="94"/>
      <c r="B158" s="96"/>
      <c r="C158" s="159" t="s">
        <v>608</v>
      </c>
      <c r="D158" s="126">
        <v>4.0</v>
      </c>
      <c r="E158" s="325">
        <f>E154</f>
        <v>1</v>
      </c>
      <c r="F158" s="98">
        <f t="shared" si="11"/>
        <v>0.5105531559</v>
      </c>
      <c r="G158" s="68">
        <f t="shared" si="2"/>
        <v>0.3379908571</v>
      </c>
      <c r="H158" s="68">
        <f t="shared" si="3"/>
        <v>0.6620091429</v>
      </c>
      <c r="I158" s="72">
        <f t="shared" ref="I158:I159" si="20">($I$157*D158)/$D$157</f>
        <v>0.5245714286</v>
      </c>
      <c r="J158" s="73"/>
      <c r="K158" s="74"/>
      <c r="L158" s="75">
        <v>0.21</v>
      </c>
      <c r="M158" s="127">
        <v>0.052</v>
      </c>
      <c r="N158" s="79" t="s">
        <v>448</v>
      </c>
      <c r="O158" s="82"/>
      <c r="P158" s="85"/>
    </row>
    <row r="159" outlineLevel="1">
      <c r="A159" s="94"/>
      <c r="B159" s="96"/>
      <c r="C159" s="159" t="s">
        <v>515</v>
      </c>
      <c r="D159" s="126">
        <v>8.0</v>
      </c>
      <c r="E159" s="325">
        <v>2.0</v>
      </c>
      <c r="F159" s="98">
        <f t="shared" si="11"/>
        <v>0.5105531559</v>
      </c>
      <c r="G159" s="68">
        <f t="shared" si="2"/>
        <v>0.6759817143</v>
      </c>
      <c r="H159" s="68">
        <f t="shared" si="3"/>
        <v>1.324018286</v>
      </c>
      <c r="I159" s="72">
        <f t="shared" si="20"/>
        <v>1.049142857</v>
      </c>
      <c r="J159" s="73"/>
      <c r="K159" s="74"/>
      <c r="L159" s="75">
        <v>0.21</v>
      </c>
      <c r="M159" s="127">
        <v>0.052</v>
      </c>
      <c r="N159" s="79" t="s">
        <v>448</v>
      </c>
      <c r="O159" s="82"/>
      <c r="P159" s="85"/>
    </row>
    <row r="160" outlineLevel="1">
      <c r="A160" s="94"/>
      <c r="B160" s="96"/>
      <c r="C160" s="159" t="s">
        <v>615</v>
      </c>
      <c r="D160" s="126">
        <v>8.0</v>
      </c>
      <c r="E160" s="325">
        <f>E156</f>
        <v>3</v>
      </c>
      <c r="F160" s="98">
        <f t="shared" si="11"/>
        <v>2.23689962</v>
      </c>
      <c r="G160" s="68">
        <f t="shared" si="2"/>
        <v>2.0731872</v>
      </c>
      <c r="H160" s="68">
        <f t="shared" si="3"/>
        <v>0.9268128</v>
      </c>
      <c r="I160" s="72">
        <f>($I$157*D160)/$D$153</f>
        <v>0.7344</v>
      </c>
      <c r="J160" s="73"/>
      <c r="K160" s="74"/>
      <c r="L160" s="75">
        <v>0.21</v>
      </c>
      <c r="M160" s="127">
        <v>0.052</v>
      </c>
      <c r="N160" s="79" t="s">
        <v>448</v>
      </c>
      <c r="O160" s="82"/>
      <c r="P160" s="85"/>
    </row>
    <row r="161" outlineLevel="1">
      <c r="A161" s="160" t="s">
        <v>598</v>
      </c>
      <c r="B161" s="161" t="s">
        <v>698</v>
      </c>
      <c r="C161" s="202" t="s">
        <v>699</v>
      </c>
      <c r="D161" s="320">
        <v>100.0</v>
      </c>
      <c r="E161" s="234">
        <v>15.0</v>
      </c>
      <c r="F161" s="165">
        <f t="shared" si="11"/>
        <v>0.4320355909</v>
      </c>
      <c r="G161" s="166">
        <f t="shared" si="2"/>
        <v>4.5254</v>
      </c>
      <c r="H161" s="166">
        <f t="shared" si="3"/>
        <v>10.4746</v>
      </c>
      <c r="I161" s="321">
        <v>8.3</v>
      </c>
      <c r="J161" s="322">
        <v>1.0</v>
      </c>
      <c r="K161" s="169"/>
      <c r="L161" s="170">
        <v>0.21</v>
      </c>
      <c r="M161" s="205">
        <v>0.052</v>
      </c>
      <c r="N161" s="206" t="s">
        <v>152</v>
      </c>
      <c r="O161" s="82"/>
      <c r="P161" s="190"/>
    </row>
    <row r="162" outlineLevel="1">
      <c r="A162" s="307"/>
      <c r="B162" s="308"/>
      <c r="C162" s="263" t="s">
        <v>608</v>
      </c>
      <c r="D162" s="265">
        <v>4.0</v>
      </c>
      <c r="E162" s="326">
        <f>E158</f>
        <v>1</v>
      </c>
      <c r="F162" s="270">
        <f t="shared" si="11"/>
        <v>1.386725985</v>
      </c>
      <c r="G162" s="272">
        <f t="shared" si="2"/>
        <v>0.581016</v>
      </c>
      <c r="H162" s="272">
        <f t="shared" si="3"/>
        <v>0.418984</v>
      </c>
      <c r="I162" s="276">
        <f t="shared" ref="I162:I164" si="21">($I$161*D162)/$D$161</f>
        <v>0.332</v>
      </c>
      <c r="J162" s="278"/>
      <c r="K162" s="279"/>
      <c r="L162" s="281">
        <v>0.21</v>
      </c>
      <c r="M162" s="327">
        <v>0.052</v>
      </c>
      <c r="N162" s="323" t="s">
        <v>152</v>
      </c>
      <c r="O162" s="90"/>
      <c r="P162" s="288"/>
    </row>
    <row r="163" outlineLevel="1">
      <c r="A163" s="307"/>
      <c r="B163" s="308"/>
      <c r="C163" s="263" t="s">
        <v>515</v>
      </c>
      <c r="D163" s="265">
        <v>8.0</v>
      </c>
      <c r="E163" s="328">
        <v>2.0</v>
      </c>
      <c r="F163" s="270">
        <f t="shared" si="11"/>
        <v>1.386725985</v>
      </c>
      <c r="G163" s="272">
        <f t="shared" si="2"/>
        <v>1.162032</v>
      </c>
      <c r="H163" s="272">
        <f t="shared" si="3"/>
        <v>0.837968</v>
      </c>
      <c r="I163" s="276">
        <f t="shared" si="21"/>
        <v>0.664</v>
      </c>
      <c r="J163" s="278"/>
      <c r="K163" s="279"/>
      <c r="L163" s="281">
        <v>0.21</v>
      </c>
      <c r="M163" s="327">
        <v>0.052</v>
      </c>
      <c r="N163" s="323" t="s">
        <v>152</v>
      </c>
      <c r="O163" s="90"/>
      <c r="P163" s="288"/>
    </row>
    <row r="164" outlineLevel="1">
      <c r="A164" s="307"/>
      <c r="B164" s="308"/>
      <c r="C164" s="263" t="s">
        <v>615</v>
      </c>
      <c r="D164" s="265">
        <v>8.0</v>
      </c>
      <c r="E164" s="326">
        <f>E160</f>
        <v>3</v>
      </c>
      <c r="F164" s="270">
        <f t="shared" si="11"/>
        <v>2.580088977</v>
      </c>
      <c r="G164" s="272">
        <f t="shared" si="2"/>
        <v>2.162032</v>
      </c>
      <c r="H164" s="272">
        <f t="shared" si="3"/>
        <v>0.837968</v>
      </c>
      <c r="I164" s="276">
        <f t="shared" si="21"/>
        <v>0.664</v>
      </c>
      <c r="J164" s="278"/>
      <c r="K164" s="279"/>
      <c r="L164" s="281">
        <v>0.21</v>
      </c>
      <c r="M164" s="327">
        <v>0.052</v>
      </c>
      <c r="N164" s="323" t="s">
        <v>152</v>
      </c>
      <c r="O164" s="90"/>
      <c r="P164" s="288"/>
    </row>
    <row r="165" outlineLevel="1">
      <c r="A165" s="94" t="s">
        <v>598</v>
      </c>
      <c r="B165" s="96" t="s">
        <v>698</v>
      </c>
      <c r="C165" s="58" t="s">
        <v>699</v>
      </c>
      <c r="D165" s="310">
        <v>70.0</v>
      </c>
      <c r="E165" s="60">
        <v>10.0</v>
      </c>
      <c r="F165" s="98">
        <f t="shared" si="11"/>
        <v>0.2801179757</v>
      </c>
      <c r="G165" s="68">
        <f t="shared" si="2"/>
        <v>2.18822</v>
      </c>
      <c r="H165" s="68">
        <f t="shared" si="3"/>
        <v>7.81178</v>
      </c>
      <c r="I165" s="200">
        <v>6.19</v>
      </c>
      <c r="J165" s="73">
        <v>1.0</v>
      </c>
      <c r="K165" s="74"/>
      <c r="L165" s="75">
        <v>0.21</v>
      </c>
      <c r="M165" s="127">
        <v>0.052</v>
      </c>
      <c r="N165" s="79" t="s">
        <v>448</v>
      </c>
      <c r="O165" s="82"/>
      <c r="P165" s="85"/>
    </row>
    <row r="166" outlineLevel="1">
      <c r="A166" s="94"/>
      <c r="B166" s="96"/>
      <c r="C166" s="159" t="s">
        <v>608</v>
      </c>
      <c r="D166" s="126">
        <v>4.0</v>
      </c>
      <c r="E166" s="325">
        <f>E158</f>
        <v>1</v>
      </c>
      <c r="F166" s="98">
        <f t="shared" si="11"/>
        <v>1.240206457</v>
      </c>
      <c r="G166" s="68">
        <f t="shared" si="2"/>
        <v>0.5536125714</v>
      </c>
      <c r="H166" s="68">
        <f t="shared" si="3"/>
        <v>0.4463874286</v>
      </c>
      <c r="I166" s="72">
        <f t="shared" ref="I166:I168" si="22">($I$165*D166)/$D$165</f>
        <v>0.3537142857</v>
      </c>
      <c r="J166" s="73"/>
      <c r="K166" s="74"/>
      <c r="L166" s="75">
        <v>0.21</v>
      </c>
      <c r="M166" s="127">
        <v>0.052</v>
      </c>
      <c r="N166" s="79" t="s">
        <v>448</v>
      </c>
      <c r="O166" s="82"/>
      <c r="P166" s="85"/>
    </row>
    <row r="167" outlineLevel="1">
      <c r="A167" s="94"/>
      <c r="B167" s="96"/>
      <c r="C167" s="159" t="s">
        <v>515</v>
      </c>
      <c r="D167" s="126">
        <v>8.0</v>
      </c>
      <c r="E167" s="325">
        <v>2.0</v>
      </c>
      <c r="F167" s="98">
        <f t="shared" si="11"/>
        <v>1.240206457</v>
      </c>
      <c r="G167" s="68">
        <f t="shared" si="2"/>
        <v>1.107225143</v>
      </c>
      <c r="H167" s="68">
        <f t="shared" si="3"/>
        <v>0.8927748571</v>
      </c>
      <c r="I167" s="72">
        <f t="shared" si="22"/>
        <v>0.7074285714</v>
      </c>
      <c r="J167" s="73"/>
      <c r="K167" s="74"/>
      <c r="L167" s="75">
        <v>0.21</v>
      </c>
      <c r="M167" s="127">
        <v>0.052</v>
      </c>
      <c r="N167" s="79" t="s">
        <v>448</v>
      </c>
      <c r="O167" s="82"/>
      <c r="P167" s="85"/>
    </row>
    <row r="168" outlineLevel="1">
      <c r="A168" s="94"/>
      <c r="B168" s="96"/>
      <c r="C168" s="159" t="s">
        <v>615</v>
      </c>
      <c r="D168" s="126">
        <v>8.0</v>
      </c>
      <c r="E168" s="325">
        <f>E160</f>
        <v>3</v>
      </c>
      <c r="F168" s="98">
        <f t="shared" si="11"/>
        <v>2.360309686</v>
      </c>
      <c r="G168" s="68">
        <f t="shared" si="2"/>
        <v>2.107225143</v>
      </c>
      <c r="H168" s="68">
        <f t="shared" si="3"/>
        <v>0.8927748571</v>
      </c>
      <c r="I168" s="72">
        <f t="shared" si="22"/>
        <v>0.7074285714</v>
      </c>
      <c r="J168" s="73"/>
      <c r="K168" s="74"/>
      <c r="L168" s="75">
        <v>0.21</v>
      </c>
      <c r="M168" s="127">
        <v>0.052</v>
      </c>
      <c r="N168" s="79" t="s">
        <v>448</v>
      </c>
      <c r="O168" s="82"/>
      <c r="P168" s="85"/>
    </row>
    <row r="169">
      <c r="A169" s="94" t="s">
        <v>598</v>
      </c>
      <c r="B169" s="96" t="s">
        <v>716</v>
      </c>
      <c r="C169" s="58" t="s">
        <v>717</v>
      </c>
      <c r="D169" s="310">
        <v>70.0</v>
      </c>
      <c r="E169" s="60">
        <v>35.0</v>
      </c>
      <c r="F169" s="98">
        <f t="shared" si="11"/>
        <v>0.6313974084</v>
      </c>
      <c r="G169" s="68">
        <f t="shared" si="2"/>
        <v>13.546</v>
      </c>
      <c r="H169" s="68">
        <f t="shared" si="3"/>
        <v>21.454</v>
      </c>
      <c r="I169" s="200">
        <v>17.0</v>
      </c>
      <c r="J169" s="73"/>
      <c r="K169" s="74"/>
      <c r="L169" s="75">
        <v>0.21</v>
      </c>
      <c r="M169" s="127">
        <v>0.052</v>
      </c>
      <c r="N169" s="79" t="s">
        <v>651</v>
      </c>
      <c r="O169" s="82"/>
      <c r="P169" s="85"/>
    </row>
    <row r="170">
      <c r="A170" s="94"/>
      <c r="B170" s="96"/>
      <c r="C170" s="159" t="s">
        <v>515</v>
      </c>
      <c r="D170" s="126">
        <v>8.0</v>
      </c>
      <c r="E170" s="60">
        <v>6.0</v>
      </c>
      <c r="F170" s="98">
        <f t="shared" si="11"/>
        <v>1.447096113</v>
      </c>
      <c r="G170" s="68">
        <f t="shared" si="2"/>
        <v>3.548114286</v>
      </c>
      <c r="H170" s="68">
        <f t="shared" si="3"/>
        <v>2.451885714</v>
      </c>
      <c r="I170" s="72">
        <f>($I$169*D170)/$D$169</f>
        <v>1.942857143</v>
      </c>
      <c r="J170" s="73"/>
      <c r="K170" s="74"/>
      <c r="L170" s="75">
        <v>0.21</v>
      </c>
      <c r="M170" s="127">
        <v>0.052</v>
      </c>
      <c r="N170" s="79" t="s">
        <v>651</v>
      </c>
      <c r="O170" s="82"/>
      <c r="P170" s="85"/>
    </row>
    <row r="171">
      <c r="A171" s="94" t="s">
        <v>598</v>
      </c>
      <c r="B171" s="96" t="s">
        <v>716</v>
      </c>
      <c r="C171" s="58" t="s">
        <v>721</v>
      </c>
      <c r="D171" s="310">
        <v>70.0</v>
      </c>
      <c r="E171" s="60">
        <v>10.0</v>
      </c>
      <c r="F171" s="98">
        <f t="shared" si="11"/>
        <v>-0.009508716323</v>
      </c>
      <c r="G171" s="68">
        <f t="shared" si="2"/>
        <v>-0.096</v>
      </c>
      <c r="H171" s="68">
        <f t="shared" si="3"/>
        <v>10.096</v>
      </c>
      <c r="I171" s="200">
        <v>8.0</v>
      </c>
      <c r="J171" s="73"/>
      <c r="K171" s="74"/>
      <c r="L171" s="75">
        <v>0.21</v>
      </c>
      <c r="M171" s="127">
        <v>0.052</v>
      </c>
      <c r="N171" s="79" t="s">
        <v>651</v>
      </c>
      <c r="O171" s="82"/>
      <c r="P171" s="85"/>
    </row>
    <row r="172">
      <c r="A172" s="94"/>
      <c r="B172" s="96"/>
      <c r="C172" s="159" t="s">
        <v>608</v>
      </c>
      <c r="D172" s="126">
        <v>4.0</v>
      </c>
      <c r="E172" s="60">
        <v>1.0</v>
      </c>
      <c r="F172" s="98">
        <f t="shared" si="11"/>
        <v>0.8078512397</v>
      </c>
      <c r="G172" s="68">
        <f t="shared" si="2"/>
        <v>0.4468571429</v>
      </c>
      <c r="H172" s="68">
        <f t="shared" si="3"/>
        <v>0.5531428571</v>
      </c>
      <c r="I172" s="72">
        <f t="shared" ref="I172:I174" si="23">($I$171*D172)/$D$171</f>
        <v>0.4571428571</v>
      </c>
      <c r="J172" s="73"/>
      <c r="K172" s="74"/>
      <c r="L172" s="75">
        <v>0.21</v>
      </c>
      <c r="M172" s="76">
        <v>0.0</v>
      </c>
      <c r="N172" s="79" t="s">
        <v>651</v>
      </c>
      <c r="O172" s="82"/>
      <c r="P172" s="85"/>
    </row>
    <row r="173">
      <c r="A173" s="94"/>
      <c r="B173" s="96"/>
      <c r="C173" s="159" t="s">
        <v>515</v>
      </c>
      <c r="D173" s="126">
        <v>8.0</v>
      </c>
      <c r="E173" s="60">
        <v>1.5</v>
      </c>
      <c r="F173" s="98">
        <f t="shared" si="11"/>
        <v>0.3558884298</v>
      </c>
      <c r="G173" s="68">
        <f t="shared" si="2"/>
        <v>0.3937142857</v>
      </c>
      <c r="H173" s="68">
        <f t="shared" si="3"/>
        <v>1.106285714</v>
      </c>
      <c r="I173" s="72">
        <f t="shared" si="23"/>
        <v>0.9142857143</v>
      </c>
      <c r="J173" s="73"/>
      <c r="K173" s="74"/>
      <c r="L173" s="75">
        <v>0.21</v>
      </c>
      <c r="M173" s="76">
        <v>0.0</v>
      </c>
      <c r="N173" s="79" t="s">
        <v>651</v>
      </c>
      <c r="O173" s="82"/>
      <c r="P173" s="85"/>
    </row>
    <row r="174">
      <c r="A174" s="94"/>
      <c r="B174" s="96"/>
      <c r="C174" s="159" t="s">
        <v>615</v>
      </c>
      <c r="D174" s="126">
        <v>8.0</v>
      </c>
      <c r="E174" s="60">
        <v>2.5</v>
      </c>
      <c r="F174" s="98">
        <f t="shared" si="11"/>
        <v>1.25981405</v>
      </c>
      <c r="G174" s="68">
        <f t="shared" si="2"/>
        <v>1.393714286</v>
      </c>
      <c r="H174" s="68">
        <f t="shared" si="3"/>
        <v>1.106285714</v>
      </c>
      <c r="I174" s="72">
        <f t="shared" si="23"/>
        <v>0.9142857143</v>
      </c>
      <c r="J174" s="73"/>
      <c r="K174" s="74"/>
      <c r="L174" s="75">
        <v>0.21</v>
      </c>
      <c r="M174" s="76">
        <v>0.0</v>
      </c>
      <c r="N174" s="79" t="s">
        <v>651</v>
      </c>
      <c r="O174" s="82"/>
      <c r="P174" s="85"/>
    </row>
    <row r="175">
      <c r="A175" s="94" t="s">
        <v>598</v>
      </c>
      <c r="B175" s="96" t="s">
        <v>716</v>
      </c>
      <c r="C175" s="58" t="s">
        <v>726</v>
      </c>
      <c r="D175" s="310">
        <v>70.0</v>
      </c>
      <c r="E175" s="60">
        <v>15.0</v>
      </c>
      <c r="F175" s="98">
        <f t="shared" si="11"/>
        <v>0.3999876801</v>
      </c>
      <c r="G175" s="68">
        <f t="shared" si="2"/>
        <v>4.28562</v>
      </c>
      <c r="H175" s="68">
        <f t="shared" si="3"/>
        <v>10.71438</v>
      </c>
      <c r="I175" s="200">
        <v>8.49</v>
      </c>
      <c r="J175" s="73">
        <v>1.0</v>
      </c>
      <c r="K175" s="74"/>
      <c r="L175" s="75">
        <v>0.21</v>
      </c>
      <c r="M175" s="127">
        <v>0.052</v>
      </c>
      <c r="N175" s="79" t="s">
        <v>448</v>
      </c>
      <c r="O175" s="82"/>
      <c r="P175" s="85"/>
    </row>
    <row r="176">
      <c r="A176" s="94"/>
      <c r="B176" s="96"/>
      <c r="C176" s="159" t="s">
        <v>608</v>
      </c>
      <c r="D176" s="126">
        <v>4.0</v>
      </c>
      <c r="E176" s="60">
        <v>1.0</v>
      </c>
      <c r="F176" s="98">
        <f t="shared" si="11"/>
        <v>0.6333189601</v>
      </c>
      <c r="G176" s="68">
        <f t="shared" si="2"/>
        <v>0.3877497143</v>
      </c>
      <c r="H176" s="68">
        <f t="shared" si="3"/>
        <v>0.6122502857</v>
      </c>
      <c r="I176" s="72">
        <f t="shared" ref="I176:I178" si="24">($I$175*D176)/$D$175</f>
        <v>0.4851428571</v>
      </c>
      <c r="J176" s="73"/>
      <c r="K176" s="74"/>
      <c r="L176" s="75">
        <v>0.21</v>
      </c>
      <c r="M176" s="127">
        <v>0.052</v>
      </c>
      <c r="N176" s="79" t="s">
        <v>448</v>
      </c>
      <c r="O176" s="82"/>
      <c r="P176" s="85"/>
    </row>
    <row r="177">
      <c r="A177" s="94"/>
      <c r="B177" s="96"/>
      <c r="C177" s="159" t="s">
        <v>515</v>
      </c>
      <c r="D177" s="126">
        <v>8.0</v>
      </c>
      <c r="E177" s="60">
        <v>2.0</v>
      </c>
      <c r="F177" s="98">
        <f t="shared" si="11"/>
        <v>0.6333189601</v>
      </c>
      <c r="G177" s="68">
        <f t="shared" si="2"/>
        <v>0.7754994286</v>
      </c>
      <c r="H177" s="68">
        <f t="shared" si="3"/>
        <v>1.224500571</v>
      </c>
      <c r="I177" s="72">
        <f t="shared" si="24"/>
        <v>0.9702857143</v>
      </c>
      <c r="J177" s="73"/>
      <c r="K177" s="74"/>
      <c r="L177" s="75">
        <v>0.21</v>
      </c>
      <c r="M177" s="127">
        <v>0.052</v>
      </c>
      <c r="N177" s="79" t="s">
        <v>448</v>
      </c>
      <c r="O177" s="82"/>
      <c r="P177" s="85"/>
    </row>
    <row r="178">
      <c r="A178" s="94"/>
      <c r="B178" s="96"/>
      <c r="C178" s="159" t="s">
        <v>615</v>
      </c>
      <c r="D178" s="126">
        <v>8.0</v>
      </c>
      <c r="E178" s="60">
        <v>2.5</v>
      </c>
      <c r="F178" s="98">
        <f t="shared" si="11"/>
        <v>1.0416487</v>
      </c>
      <c r="G178" s="68">
        <f t="shared" si="2"/>
        <v>1.275499429</v>
      </c>
      <c r="H178" s="68">
        <f t="shared" si="3"/>
        <v>1.224500571</v>
      </c>
      <c r="I178" s="72">
        <f t="shared" si="24"/>
        <v>0.9702857143</v>
      </c>
      <c r="J178" s="73"/>
      <c r="K178" s="74"/>
      <c r="L178" s="75">
        <v>0.21</v>
      </c>
      <c r="M178" s="127">
        <v>0.052</v>
      </c>
      <c r="N178" s="79" t="s">
        <v>448</v>
      </c>
      <c r="O178" s="82"/>
      <c r="P178" s="85"/>
    </row>
    <row r="179">
      <c r="A179" s="94" t="s">
        <v>598</v>
      </c>
      <c r="B179" s="96" t="s">
        <v>716</v>
      </c>
      <c r="C179" s="58" t="s">
        <v>731</v>
      </c>
      <c r="D179" s="310">
        <v>100.0</v>
      </c>
      <c r="E179" s="60">
        <v>10.0</v>
      </c>
      <c r="F179" s="98">
        <f t="shared" si="11"/>
        <v>0.1806375443</v>
      </c>
      <c r="G179" s="68">
        <f t="shared" si="2"/>
        <v>1.53</v>
      </c>
      <c r="H179" s="68">
        <f t="shared" si="3"/>
        <v>8.47</v>
      </c>
      <c r="I179" s="200">
        <v>7.0</v>
      </c>
      <c r="J179" s="73">
        <v>1.0</v>
      </c>
      <c r="K179" s="74"/>
      <c r="L179" s="75">
        <v>0.21</v>
      </c>
      <c r="M179" s="76">
        <v>0.0</v>
      </c>
      <c r="N179" s="79" t="s">
        <v>448</v>
      </c>
      <c r="O179" s="82"/>
      <c r="P179" s="85"/>
    </row>
    <row r="180">
      <c r="A180" s="94"/>
      <c r="B180" s="96"/>
      <c r="C180" s="159" t="s">
        <v>608</v>
      </c>
      <c r="D180" s="126">
        <v>4.0</v>
      </c>
      <c r="E180" s="60">
        <v>1.0</v>
      </c>
      <c r="F180" s="98">
        <f t="shared" si="11"/>
        <v>1.951593861</v>
      </c>
      <c r="G180" s="68">
        <f t="shared" si="2"/>
        <v>0.6612</v>
      </c>
      <c r="H180" s="68">
        <f t="shared" si="3"/>
        <v>0.3388</v>
      </c>
      <c r="I180" s="72">
        <f t="shared" ref="I180:I182" si="25">($I$179*D180)/$D$179</f>
        <v>0.28</v>
      </c>
      <c r="J180" s="73"/>
      <c r="K180" s="74"/>
      <c r="L180" s="75">
        <v>0.21</v>
      </c>
      <c r="M180" s="76">
        <v>0.0</v>
      </c>
      <c r="N180" s="79" t="s">
        <v>448</v>
      </c>
      <c r="O180" s="82"/>
      <c r="P180" s="85"/>
    </row>
    <row r="181">
      <c r="A181" s="94"/>
      <c r="B181" s="96"/>
      <c r="C181" s="159" t="s">
        <v>515</v>
      </c>
      <c r="D181" s="126">
        <v>8.0</v>
      </c>
      <c r="E181" s="60">
        <v>1.5</v>
      </c>
      <c r="F181" s="98">
        <f t="shared" si="11"/>
        <v>1.213695396</v>
      </c>
      <c r="G181" s="68">
        <f t="shared" si="2"/>
        <v>0.8224</v>
      </c>
      <c r="H181" s="68">
        <f t="shared" si="3"/>
        <v>0.6776</v>
      </c>
      <c r="I181" s="72">
        <f t="shared" si="25"/>
        <v>0.56</v>
      </c>
      <c r="J181" s="73"/>
      <c r="K181" s="74"/>
      <c r="L181" s="75">
        <v>0.21</v>
      </c>
      <c r="M181" s="76">
        <v>0.0</v>
      </c>
      <c r="N181" s="79" t="s">
        <v>448</v>
      </c>
      <c r="O181" s="82"/>
      <c r="P181" s="85"/>
    </row>
    <row r="182">
      <c r="A182" s="94"/>
      <c r="B182" s="96"/>
      <c r="C182" s="159" t="s">
        <v>615</v>
      </c>
      <c r="D182" s="126">
        <v>8.0</v>
      </c>
      <c r="E182" s="60">
        <v>2.0</v>
      </c>
      <c r="F182" s="98">
        <f t="shared" si="11"/>
        <v>1.951593861</v>
      </c>
      <c r="G182" s="68">
        <f t="shared" si="2"/>
        <v>1.3224</v>
      </c>
      <c r="H182" s="68">
        <f t="shared" si="3"/>
        <v>0.6776</v>
      </c>
      <c r="I182" s="72">
        <f t="shared" si="25"/>
        <v>0.56</v>
      </c>
      <c r="J182" s="73"/>
      <c r="K182" s="74"/>
      <c r="L182" s="75">
        <v>0.21</v>
      </c>
      <c r="M182" s="76">
        <v>0.0</v>
      </c>
      <c r="N182" s="79" t="s">
        <v>448</v>
      </c>
      <c r="O182" s="82"/>
      <c r="P182" s="85"/>
    </row>
    <row r="183">
      <c r="A183" s="94" t="s">
        <v>598</v>
      </c>
      <c r="B183" s="96" t="s">
        <v>716</v>
      </c>
      <c r="C183" s="58" t="s">
        <v>736</v>
      </c>
      <c r="D183" s="310">
        <v>100.0</v>
      </c>
      <c r="E183" s="60">
        <v>10.0</v>
      </c>
      <c r="F183" s="98">
        <f t="shared" si="11"/>
        <v>0.2024173398</v>
      </c>
      <c r="G183" s="68">
        <f t="shared" si="2"/>
        <v>1.68342</v>
      </c>
      <c r="H183" s="68">
        <f t="shared" si="3"/>
        <v>8.31658</v>
      </c>
      <c r="I183" s="200">
        <v>6.59</v>
      </c>
      <c r="J183" s="73">
        <v>1.0</v>
      </c>
      <c r="K183" s="74"/>
      <c r="L183" s="75">
        <v>0.21</v>
      </c>
      <c r="M183" s="127">
        <v>0.052</v>
      </c>
      <c r="N183" s="79" t="s">
        <v>448</v>
      </c>
      <c r="O183" s="82"/>
      <c r="P183" s="85"/>
    </row>
    <row r="184">
      <c r="A184" s="94"/>
      <c r="B184" s="96"/>
      <c r="C184" s="159" t="s">
        <v>608</v>
      </c>
      <c r="D184" s="126">
        <v>4.0</v>
      </c>
      <c r="E184" s="60">
        <v>1.0</v>
      </c>
      <c r="F184" s="98">
        <f t="shared" si="11"/>
        <v>2.00604335</v>
      </c>
      <c r="G184" s="68">
        <f t="shared" si="2"/>
        <v>0.6673368</v>
      </c>
      <c r="H184" s="68">
        <f t="shared" si="3"/>
        <v>0.3326632</v>
      </c>
      <c r="I184" s="72">
        <f t="shared" ref="I184:I186" si="26">($I$183*D184)/$D$183</f>
        <v>0.2636</v>
      </c>
      <c r="J184" s="73"/>
      <c r="K184" s="74"/>
      <c r="L184" s="75">
        <v>0.21</v>
      </c>
      <c r="M184" s="127">
        <v>0.052</v>
      </c>
      <c r="N184" s="79" t="s">
        <v>448</v>
      </c>
      <c r="O184" s="82"/>
      <c r="P184" s="85"/>
    </row>
    <row r="185">
      <c r="A185" s="94"/>
      <c r="B185" s="96"/>
      <c r="C185" s="159" t="s">
        <v>515</v>
      </c>
      <c r="D185" s="126">
        <v>8.0</v>
      </c>
      <c r="E185" s="60">
        <v>1.5</v>
      </c>
      <c r="F185" s="98">
        <f t="shared" si="11"/>
        <v>1.254532512</v>
      </c>
      <c r="G185" s="68">
        <f t="shared" si="2"/>
        <v>0.8346736</v>
      </c>
      <c r="H185" s="68">
        <f t="shared" si="3"/>
        <v>0.6653264</v>
      </c>
      <c r="I185" s="72">
        <f t="shared" si="26"/>
        <v>0.5272</v>
      </c>
      <c r="J185" s="73"/>
      <c r="K185" s="74"/>
      <c r="L185" s="75">
        <v>0.21</v>
      </c>
      <c r="M185" s="127">
        <v>0.052</v>
      </c>
      <c r="N185" s="79" t="s">
        <v>448</v>
      </c>
      <c r="O185" s="82"/>
      <c r="P185" s="85"/>
    </row>
    <row r="186">
      <c r="A186" s="94"/>
      <c r="B186" s="96"/>
      <c r="C186" s="159" t="s">
        <v>615</v>
      </c>
      <c r="D186" s="126">
        <v>8.0</v>
      </c>
      <c r="E186" s="60">
        <v>2.0</v>
      </c>
      <c r="F186" s="98">
        <f t="shared" si="11"/>
        <v>2.00604335</v>
      </c>
      <c r="G186" s="68">
        <f t="shared" si="2"/>
        <v>1.3346736</v>
      </c>
      <c r="H186" s="68">
        <f t="shared" si="3"/>
        <v>0.6653264</v>
      </c>
      <c r="I186" s="72">
        <f t="shared" si="26"/>
        <v>0.5272</v>
      </c>
      <c r="J186" s="73"/>
      <c r="K186" s="74"/>
      <c r="L186" s="75">
        <v>0.21</v>
      </c>
      <c r="M186" s="127">
        <v>0.052</v>
      </c>
      <c r="N186" s="79" t="s">
        <v>448</v>
      </c>
      <c r="O186" s="82"/>
      <c r="P186" s="85"/>
    </row>
    <row r="187">
      <c r="A187" s="94" t="s">
        <v>598</v>
      </c>
      <c r="B187" s="96" t="s">
        <v>716</v>
      </c>
      <c r="C187" s="58" t="s">
        <v>741</v>
      </c>
      <c r="D187" s="310">
        <v>70.0</v>
      </c>
      <c r="E187" s="60">
        <v>15.0</v>
      </c>
      <c r="F187" s="98">
        <f t="shared" si="11"/>
        <v>0.2933509689</v>
      </c>
      <c r="G187" s="68">
        <f t="shared" si="2"/>
        <v>3.40222</v>
      </c>
      <c r="H187" s="68">
        <f t="shared" si="3"/>
        <v>11.59778</v>
      </c>
      <c r="I187" s="200">
        <v>9.19</v>
      </c>
      <c r="J187" s="73">
        <v>1.0</v>
      </c>
      <c r="K187" s="74"/>
      <c r="L187" s="75">
        <v>0.21</v>
      </c>
      <c r="M187" s="127">
        <v>0.052</v>
      </c>
      <c r="N187" s="79" t="s">
        <v>152</v>
      </c>
      <c r="O187" s="82"/>
      <c r="P187" s="85"/>
    </row>
    <row r="188">
      <c r="A188" s="94"/>
      <c r="B188" s="96"/>
      <c r="C188" s="159" t="s">
        <v>608</v>
      </c>
      <c r="D188" s="126">
        <v>4.0</v>
      </c>
      <c r="E188" s="60">
        <v>1.0</v>
      </c>
      <c r="F188" s="98">
        <f t="shared" si="11"/>
        <v>0.5089094637</v>
      </c>
      <c r="G188" s="68">
        <f t="shared" si="2"/>
        <v>0.3372697143</v>
      </c>
      <c r="H188" s="68">
        <f t="shared" si="3"/>
        <v>0.6627302857</v>
      </c>
      <c r="I188" s="72">
        <f t="shared" ref="I188:I190" si="27">($I$187*D188)/$D$187</f>
        <v>0.5251428571</v>
      </c>
      <c r="J188" s="73"/>
      <c r="K188" s="74"/>
      <c r="L188" s="75">
        <v>0.21</v>
      </c>
      <c r="M188" s="127">
        <v>0.052</v>
      </c>
      <c r="N188" s="79" t="s">
        <v>152</v>
      </c>
      <c r="O188" s="82"/>
      <c r="P188" s="85"/>
    </row>
    <row r="189">
      <c r="A189" s="94"/>
      <c r="B189" s="96"/>
      <c r="C189" s="159" t="s">
        <v>515</v>
      </c>
      <c r="D189" s="126">
        <v>8.0</v>
      </c>
      <c r="E189" s="60">
        <v>2.0</v>
      </c>
      <c r="F189" s="98">
        <f t="shared" si="11"/>
        <v>0.5089094637</v>
      </c>
      <c r="G189" s="68">
        <f t="shared" si="2"/>
        <v>0.6745394286</v>
      </c>
      <c r="H189" s="68">
        <f t="shared" si="3"/>
        <v>1.325460571</v>
      </c>
      <c r="I189" s="72">
        <f t="shared" si="27"/>
        <v>1.050285714</v>
      </c>
      <c r="J189" s="73"/>
      <c r="K189" s="74"/>
      <c r="L189" s="75">
        <v>0.21</v>
      </c>
      <c r="M189" s="127">
        <v>0.052</v>
      </c>
      <c r="N189" s="79" t="s">
        <v>152</v>
      </c>
      <c r="O189" s="82"/>
      <c r="P189" s="85"/>
    </row>
    <row r="190">
      <c r="A190" s="94"/>
      <c r="B190" s="96"/>
      <c r="C190" s="159" t="s">
        <v>615</v>
      </c>
      <c r="D190" s="126">
        <v>8.0</v>
      </c>
      <c r="E190" s="60">
        <v>3.0</v>
      </c>
      <c r="F190" s="98">
        <f t="shared" si="11"/>
        <v>1.263364196</v>
      </c>
      <c r="G190" s="68">
        <f t="shared" si="2"/>
        <v>1.674539429</v>
      </c>
      <c r="H190" s="68">
        <f t="shared" si="3"/>
        <v>1.325460571</v>
      </c>
      <c r="I190" s="72">
        <f t="shared" si="27"/>
        <v>1.050285714</v>
      </c>
      <c r="J190" s="73"/>
      <c r="K190" s="74"/>
      <c r="L190" s="75">
        <v>0.21</v>
      </c>
      <c r="M190" s="127">
        <v>0.052</v>
      </c>
      <c r="N190" s="79" t="s">
        <v>152</v>
      </c>
      <c r="O190" s="82"/>
      <c r="P190" s="85"/>
    </row>
    <row r="191">
      <c r="A191" s="94" t="s">
        <v>598</v>
      </c>
      <c r="B191" s="96" t="s">
        <v>746</v>
      </c>
      <c r="C191" s="58" t="s">
        <v>747</v>
      </c>
      <c r="D191" s="310">
        <v>100.0</v>
      </c>
      <c r="E191" s="60">
        <v>10.0</v>
      </c>
      <c r="F191" s="98">
        <f t="shared" si="11"/>
        <v>0.4407145944</v>
      </c>
      <c r="G191" s="68">
        <f t="shared" si="2"/>
        <v>3.059</v>
      </c>
      <c r="H191" s="68">
        <f t="shared" si="3"/>
        <v>6.941</v>
      </c>
      <c r="I191" s="200">
        <v>5.5</v>
      </c>
      <c r="J191" s="73">
        <v>1.0</v>
      </c>
      <c r="K191" s="74"/>
      <c r="L191" s="75">
        <v>0.21</v>
      </c>
      <c r="M191" s="127">
        <v>0.052</v>
      </c>
      <c r="N191" s="79" t="s">
        <v>131</v>
      </c>
      <c r="O191" s="82"/>
      <c r="P191" s="85"/>
    </row>
    <row r="192">
      <c r="A192" s="94"/>
      <c r="B192" s="96"/>
      <c r="C192" s="159" t="s">
        <v>608</v>
      </c>
      <c r="D192" s="126">
        <v>4.0</v>
      </c>
      <c r="E192" s="60">
        <v>1.0</v>
      </c>
      <c r="F192" s="98">
        <f t="shared" si="11"/>
        <v>2.601786486</v>
      </c>
      <c r="G192" s="68">
        <f t="shared" si="2"/>
        <v>0.72236</v>
      </c>
      <c r="H192" s="68">
        <f t="shared" si="3"/>
        <v>0.27764</v>
      </c>
      <c r="I192" s="72">
        <f t="shared" ref="I192:I193" si="28">($I$191*D192)/$D$191</f>
        <v>0.22</v>
      </c>
      <c r="J192" s="73"/>
      <c r="K192" s="74"/>
      <c r="L192" s="75">
        <v>0.21</v>
      </c>
      <c r="M192" s="127">
        <v>0.052</v>
      </c>
      <c r="N192" s="79" t="s">
        <v>131</v>
      </c>
      <c r="O192" s="82"/>
      <c r="P192" s="85"/>
    </row>
    <row r="193">
      <c r="A193" s="94"/>
      <c r="B193" s="96"/>
      <c r="C193" s="159" t="s">
        <v>615</v>
      </c>
      <c r="D193" s="126">
        <v>20.0</v>
      </c>
      <c r="E193" s="60">
        <v>2.0</v>
      </c>
      <c r="F193" s="98">
        <f t="shared" si="11"/>
        <v>0.4407145944</v>
      </c>
      <c r="G193" s="68">
        <f t="shared" si="2"/>
        <v>0.6118</v>
      </c>
      <c r="H193" s="68">
        <f t="shared" si="3"/>
        <v>1.3882</v>
      </c>
      <c r="I193" s="72">
        <f t="shared" si="28"/>
        <v>1.1</v>
      </c>
      <c r="J193" s="73"/>
      <c r="K193" s="74"/>
      <c r="L193" s="75">
        <v>0.21</v>
      </c>
      <c r="M193" s="127">
        <v>0.052</v>
      </c>
      <c r="N193" s="79" t="s">
        <v>131</v>
      </c>
      <c r="O193" s="82"/>
      <c r="P193" s="85"/>
    </row>
    <row r="194">
      <c r="A194" s="94" t="s">
        <v>598</v>
      </c>
      <c r="B194" s="96" t="s">
        <v>746</v>
      </c>
      <c r="C194" s="58" t="s">
        <v>752</v>
      </c>
      <c r="D194" s="310">
        <v>100.0</v>
      </c>
      <c r="E194" s="60">
        <v>8.0</v>
      </c>
      <c r="F194" s="98">
        <f t="shared" si="11"/>
        <v>0.1525716756</v>
      </c>
      <c r="G194" s="68">
        <f t="shared" si="2"/>
        <v>1.059</v>
      </c>
      <c r="H194" s="68">
        <f t="shared" si="3"/>
        <v>6.941</v>
      </c>
      <c r="I194" s="200">
        <v>5.5</v>
      </c>
      <c r="J194" s="73">
        <v>1.0</v>
      </c>
      <c r="K194" s="74"/>
      <c r="L194" s="75">
        <v>0.21</v>
      </c>
      <c r="M194" s="127">
        <v>0.052</v>
      </c>
      <c r="N194" s="333" t="s">
        <v>448</v>
      </c>
      <c r="O194" s="82"/>
      <c r="P194" s="85"/>
    </row>
    <row r="195">
      <c r="A195" s="94"/>
      <c r="B195" s="96"/>
      <c r="C195" s="159" t="s">
        <v>608</v>
      </c>
      <c r="D195" s="126">
        <v>4.0</v>
      </c>
      <c r="E195" s="60">
        <v>1.0</v>
      </c>
      <c r="F195" s="98">
        <f t="shared" si="11"/>
        <v>2.601786486</v>
      </c>
      <c r="G195" s="68">
        <f t="shared" si="2"/>
        <v>0.72236</v>
      </c>
      <c r="H195" s="68">
        <f t="shared" si="3"/>
        <v>0.27764</v>
      </c>
      <c r="I195" s="72">
        <f t="shared" ref="I195:I196" si="29">($I$194*D195)/$D$194</f>
        <v>0.22</v>
      </c>
      <c r="J195" s="73"/>
      <c r="K195" s="74"/>
      <c r="L195" s="75">
        <v>0.21</v>
      </c>
      <c r="M195" s="127">
        <v>0.052</v>
      </c>
      <c r="N195" s="79" t="s">
        <v>448</v>
      </c>
      <c r="O195" s="82"/>
      <c r="P195" s="85"/>
    </row>
    <row r="196">
      <c r="A196" s="94"/>
      <c r="B196" s="96"/>
      <c r="C196" s="159" t="s">
        <v>615</v>
      </c>
      <c r="D196" s="126">
        <v>20.0</v>
      </c>
      <c r="E196" s="60">
        <v>2.0</v>
      </c>
      <c r="F196" s="98">
        <f t="shared" si="11"/>
        <v>0.4407145944</v>
      </c>
      <c r="G196" s="68">
        <f t="shared" si="2"/>
        <v>0.6118</v>
      </c>
      <c r="H196" s="68">
        <f t="shared" si="3"/>
        <v>1.3882</v>
      </c>
      <c r="I196" s="72">
        <f t="shared" si="29"/>
        <v>1.1</v>
      </c>
      <c r="J196" s="73"/>
      <c r="K196" s="74"/>
      <c r="L196" s="75">
        <v>0.21</v>
      </c>
      <c r="M196" s="127">
        <v>0.052</v>
      </c>
      <c r="N196" s="79" t="s">
        <v>757</v>
      </c>
      <c r="O196" s="82"/>
      <c r="P196" s="85"/>
    </row>
    <row r="197">
      <c r="A197" s="94" t="s">
        <v>598</v>
      </c>
      <c r="B197" s="96" t="s">
        <v>758</v>
      </c>
      <c r="C197" s="58" t="s">
        <v>759</v>
      </c>
      <c r="D197" s="310">
        <v>100.0</v>
      </c>
      <c r="E197" s="60">
        <v>10.0</v>
      </c>
      <c r="F197" s="98">
        <f t="shared" si="11"/>
        <v>0.1933629924</v>
      </c>
      <c r="G197" s="68">
        <f t="shared" si="2"/>
        <v>1.62032</v>
      </c>
      <c r="H197" s="68">
        <f t="shared" si="3"/>
        <v>8.37968</v>
      </c>
      <c r="I197" s="200">
        <v>6.64</v>
      </c>
      <c r="J197" s="73">
        <v>1.0</v>
      </c>
      <c r="K197" s="74"/>
      <c r="L197" s="75">
        <v>0.21</v>
      </c>
      <c r="M197" s="127">
        <v>0.052</v>
      </c>
      <c r="N197" s="79" t="s">
        <v>604</v>
      </c>
      <c r="O197" s="82"/>
      <c r="P197" s="85"/>
    </row>
    <row r="198">
      <c r="A198" s="94"/>
      <c r="B198" s="96"/>
      <c r="C198" s="159" t="s">
        <v>608</v>
      </c>
      <c r="D198" s="126">
        <v>4.0</v>
      </c>
      <c r="E198" s="60">
        <v>1.0</v>
      </c>
      <c r="F198" s="98">
        <f t="shared" si="11"/>
        <v>1.983407481</v>
      </c>
      <c r="G198" s="68">
        <f t="shared" si="2"/>
        <v>0.6648128</v>
      </c>
      <c r="H198" s="68">
        <f t="shared" si="3"/>
        <v>0.3351872</v>
      </c>
      <c r="I198" s="72">
        <f t="shared" ref="I198:I199" si="30">($I$197*D198)/$D$197</f>
        <v>0.2656</v>
      </c>
      <c r="J198" s="73"/>
      <c r="K198" s="74"/>
      <c r="L198" s="75">
        <v>0.21</v>
      </c>
      <c r="M198" s="127">
        <v>0.052</v>
      </c>
      <c r="N198" s="79" t="s">
        <v>604</v>
      </c>
      <c r="O198" s="82"/>
      <c r="P198" s="85"/>
    </row>
    <row r="199">
      <c r="A199" s="94"/>
      <c r="B199" s="96"/>
      <c r="C199" s="159" t="s">
        <v>515</v>
      </c>
      <c r="D199" s="126">
        <v>8.0</v>
      </c>
      <c r="E199" s="60">
        <v>1.5</v>
      </c>
      <c r="F199" s="98">
        <f t="shared" si="11"/>
        <v>1.237555611</v>
      </c>
      <c r="G199" s="68">
        <f t="shared" si="2"/>
        <v>0.8296256</v>
      </c>
      <c r="H199" s="68">
        <f t="shared" si="3"/>
        <v>0.6703744</v>
      </c>
      <c r="I199" s="72">
        <f t="shared" si="30"/>
        <v>0.5312</v>
      </c>
      <c r="J199" s="73"/>
      <c r="K199" s="74"/>
      <c r="L199" s="75">
        <v>0.21</v>
      </c>
      <c r="M199" s="127">
        <v>0.052</v>
      </c>
      <c r="N199" s="79" t="s">
        <v>651</v>
      </c>
      <c r="O199" s="82"/>
      <c r="P199" s="85"/>
    </row>
    <row r="200">
      <c r="A200" s="94"/>
      <c r="B200" s="96"/>
      <c r="C200" s="159" t="s">
        <v>615</v>
      </c>
      <c r="D200" s="126">
        <v>8.0</v>
      </c>
      <c r="E200" s="60">
        <v>2.0</v>
      </c>
      <c r="F200" s="98">
        <f t="shared" si="11"/>
        <v>2.601786486</v>
      </c>
      <c r="G200" s="68">
        <f t="shared" si="2"/>
        <v>1.44472</v>
      </c>
      <c r="H200" s="68">
        <f t="shared" si="3"/>
        <v>0.55528</v>
      </c>
      <c r="I200" s="72">
        <f>($I$191*D200)/$D$191</f>
        <v>0.44</v>
      </c>
      <c r="J200" s="73"/>
      <c r="K200" s="74"/>
      <c r="L200" s="75">
        <v>0.21</v>
      </c>
      <c r="M200" s="127">
        <v>0.052</v>
      </c>
      <c r="N200" s="79" t="s">
        <v>604</v>
      </c>
      <c r="O200" s="82"/>
      <c r="P200" s="85"/>
    </row>
    <row r="201">
      <c r="A201" s="94" t="s">
        <v>598</v>
      </c>
      <c r="B201" s="96" t="s">
        <v>758</v>
      </c>
      <c r="C201" s="58" t="s">
        <v>765</v>
      </c>
      <c r="D201" s="310">
        <v>100.0</v>
      </c>
      <c r="E201" s="60">
        <v>10.0</v>
      </c>
      <c r="F201" s="98">
        <f t="shared" si="11"/>
        <v>0.5567642965</v>
      </c>
      <c r="G201" s="68">
        <f t="shared" si="2"/>
        <v>3.57642</v>
      </c>
      <c r="H201" s="68">
        <f t="shared" si="3"/>
        <v>6.42358</v>
      </c>
      <c r="I201" s="200">
        <v>5.09</v>
      </c>
      <c r="J201" s="73">
        <v>1.0</v>
      </c>
      <c r="K201" s="74"/>
      <c r="L201" s="75">
        <v>0.21</v>
      </c>
      <c r="M201" s="127">
        <v>0.052</v>
      </c>
      <c r="N201" s="79" t="s">
        <v>152</v>
      </c>
      <c r="O201" s="82"/>
      <c r="P201" s="85" t="s">
        <v>767</v>
      </c>
    </row>
    <row r="202">
      <c r="A202" s="94"/>
      <c r="B202" s="96"/>
      <c r="C202" s="159" t="s">
        <v>608</v>
      </c>
      <c r="D202" s="126">
        <v>4.0</v>
      </c>
      <c r="E202" s="60">
        <v>1.0</v>
      </c>
      <c r="F202" s="98">
        <f t="shared" si="11"/>
        <v>2.891910741</v>
      </c>
      <c r="G202" s="68">
        <f t="shared" si="2"/>
        <v>0.7430568</v>
      </c>
      <c r="H202" s="68">
        <f t="shared" si="3"/>
        <v>0.2569432</v>
      </c>
      <c r="I202" s="72">
        <f t="shared" ref="I202:I204" si="31">($I$201*D202)/$D$201</f>
        <v>0.2036</v>
      </c>
      <c r="J202" s="73"/>
      <c r="K202" s="74"/>
      <c r="L202" s="75">
        <v>0.21</v>
      </c>
      <c r="M202" s="127">
        <v>0.052</v>
      </c>
      <c r="N202" s="79" t="s">
        <v>152</v>
      </c>
      <c r="O202" s="82"/>
      <c r="P202" s="85"/>
    </row>
    <row r="203">
      <c r="A203" s="94"/>
      <c r="B203" s="96"/>
      <c r="C203" s="159" t="s">
        <v>515</v>
      </c>
      <c r="D203" s="126">
        <v>8.0</v>
      </c>
      <c r="E203" s="60">
        <v>1.5</v>
      </c>
      <c r="F203" s="98">
        <f t="shared" si="11"/>
        <v>1.918933056</v>
      </c>
      <c r="G203" s="68">
        <f t="shared" si="2"/>
        <v>0.9861136</v>
      </c>
      <c r="H203" s="68">
        <f t="shared" si="3"/>
        <v>0.5138864</v>
      </c>
      <c r="I203" s="72">
        <f t="shared" si="31"/>
        <v>0.4072</v>
      </c>
      <c r="J203" s="73"/>
      <c r="K203" s="74"/>
      <c r="L203" s="75">
        <v>0.21</v>
      </c>
      <c r="M203" s="127">
        <v>0.052</v>
      </c>
      <c r="N203" s="79" t="s">
        <v>152</v>
      </c>
      <c r="O203" s="82"/>
      <c r="P203" s="85"/>
    </row>
    <row r="204">
      <c r="A204" s="94"/>
      <c r="B204" s="96"/>
      <c r="C204" s="159" t="s">
        <v>615</v>
      </c>
      <c r="D204" s="126">
        <v>8.0</v>
      </c>
      <c r="E204" s="60">
        <v>1.5</v>
      </c>
      <c r="F204" s="98">
        <f t="shared" si="11"/>
        <v>1.918933056</v>
      </c>
      <c r="G204" s="68">
        <f t="shared" si="2"/>
        <v>0.9861136</v>
      </c>
      <c r="H204" s="68">
        <f t="shared" si="3"/>
        <v>0.5138864</v>
      </c>
      <c r="I204" s="72">
        <f t="shared" si="31"/>
        <v>0.4072</v>
      </c>
      <c r="J204" s="73"/>
      <c r="K204" s="74"/>
      <c r="L204" s="75">
        <v>0.21</v>
      </c>
      <c r="M204" s="127">
        <v>0.052</v>
      </c>
      <c r="N204" s="79" t="s">
        <v>152</v>
      </c>
      <c r="O204" s="82"/>
      <c r="P204" s="85"/>
    </row>
    <row r="205">
      <c r="A205" s="94" t="s">
        <v>598</v>
      </c>
      <c r="B205" s="96" t="s">
        <v>758</v>
      </c>
      <c r="C205" s="58" t="s">
        <v>771</v>
      </c>
      <c r="D205" s="310">
        <v>100.0</v>
      </c>
      <c r="E205" s="60">
        <v>10.0</v>
      </c>
      <c r="F205" s="98">
        <f t="shared" si="11"/>
        <v>0.1933629924</v>
      </c>
      <c r="G205" s="68">
        <f t="shared" si="2"/>
        <v>1.62032</v>
      </c>
      <c r="H205" s="68">
        <f t="shared" si="3"/>
        <v>8.37968</v>
      </c>
      <c r="I205" s="200">
        <v>6.64</v>
      </c>
      <c r="J205" s="73"/>
      <c r="K205" s="74"/>
      <c r="L205" s="75">
        <v>0.21</v>
      </c>
      <c r="M205" s="127">
        <v>0.052</v>
      </c>
      <c r="N205" s="79" t="s">
        <v>604</v>
      </c>
      <c r="O205" s="82"/>
      <c r="P205" s="85"/>
    </row>
    <row r="206">
      <c r="A206" s="94"/>
      <c r="B206" s="96"/>
      <c r="C206" s="159" t="s">
        <v>608</v>
      </c>
      <c r="D206" s="126">
        <v>4.0</v>
      </c>
      <c r="E206" s="60">
        <v>1.0</v>
      </c>
      <c r="F206" s="98">
        <f t="shared" si="11"/>
        <v>1.983407481</v>
      </c>
      <c r="G206" s="68">
        <f t="shared" si="2"/>
        <v>0.6648128</v>
      </c>
      <c r="H206" s="68">
        <f t="shared" si="3"/>
        <v>0.3351872</v>
      </c>
      <c r="I206" s="72">
        <f t="shared" ref="I206:I208" si="32">($I$205*D206)/$D$205</f>
        <v>0.2656</v>
      </c>
      <c r="J206" s="73"/>
      <c r="K206" s="74"/>
      <c r="L206" s="75">
        <v>0.21</v>
      </c>
      <c r="M206" s="127">
        <v>0.052</v>
      </c>
      <c r="N206" s="79" t="s">
        <v>604</v>
      </c>
      <c r="O206" s="82"/>
      <c r="P206" s="85"/>
    </row>
    <row r="207">
      <c r="A207" s="94"/>
      <c r="B207" s="96"/>
      <c r="C207" s="159" t="s">
        <v>515</v>
      </c>
      <c r="D207" s="126">
        <v>8.0</v>
      </c>
      <c r="E207" s="60">
        <v>1.5</v>
      </c>
      <c r="F207" s="98">
        <f t="shared" si="11"/>
        <v>1.237555611</v>
      </c>
      <c r="G207" s="68">
        <f t="shared" si="2"/>
        <v>0.8296256</v>
      </c>
      <c r="H207" s="68">
        <f t="shared" si="3"/>
        <v>0.6703744</v>
      </c>
      <c r="I207" s="72">
        <f t="shared" si="32"/>
        <v>0.5312</v>
      </c>
      <c r="J207" s="73"/>
      <c r="K207" s="74"/>
      <c r="L207" s="75">
        <v>0.21</v>
      </c>
      <c r="M207" s="127">
        <v>0.052</v>
      </c>
      <c r="N207" s="79" t="s">
        <v>604</v>
      </c>
      <c r="O207" s="82"/>
      <c r="P207" s="85"/>
    </row>
    <row r="208">
      <c r="A208" s="94"/>
      <c r="B208" s="96"/>
      <c r="C208" s="159" t="s">
        <v>615</v>
      </c>
      <c r="D208" s="126">
        <v>8.0</v>
      </c>
      <c r="E208" s="60">
        <v>1.5</v>
      </c>
      <c r="F208" s="98">
        <f t="shared" si="11"/>
        <v>1.237555611</v>
      </c>
      <c r="G208" s="68">
        <f t="shared" si="2"/>
        <v>0.8296256</v>
      </c>
      <c r="H208" s="68">
        <f t="shared" si="3"/>
        <v>0.6703744</v>
      </c>
      <c r="I208" s="72">
        <f t="shared" si="32"/>
        <v>0.5312</v>
      </c>
      <c r="J208" s="73"/>
      <c r="K208" s="74"/>
      <c r="L208" s="75">
        <v>0.21</v>
      </c>
      <c r="M208" s="127">
        <v>0.052</v>
      </c>
      <c r="N208" s="79" t="s">
        <v>604</v>
      </c>
      <c r="O208" s="82"/>
      <c r="P208" s="85"/>
    </row>
    <row r="209">
      <c r="A209" s="94" t="s">
        <v>598</v>
      </c>
      <c r="B209" s="96" t="s">
        <v>758</v>
      </c>
      <c r="C209" s="58" t="s">
        <v>778</v>
      </c>
      <c r="D209" s="310">
        <v>70.0</v>
      </c>
      <c r="E209" s="60">
        <v>10.0</v>
      </c>
      <c r="F209" s="98">
        <f t="shared" si="11"/>
        <v>0.1319900385</v>
      </c>
      <c r="G209" s="68">
        <f t="shared" si="2"/>
        <v>1.166</v>
      </c>
      <c r="H209" s="68">
        <f t="shared" si="3"/>
        <v>8.834</v>
      </c>
      <c r="I209" s="200">
        <v>7.0</v>
      </c>
      <c r="J209" s="73"/>
      <c r="K209" s="74"/>
      <c r="L209" s="75">
        <v>0.21</v>
      </c>
      <c r="M209" s="127">
        <v>0.052</v>
      </c>
      <c r="N209" s="79" t="s">
        <v>651</v>
      </c>
      <c r="O209" s="82"/>
      <c r="P209" s="85"/>
    </row>
    <row r="210">
      <c r="A210" s="94"/>
      <c r="B210" s="96"/>
      <c r="C210" s="159" t="s">
        <v>608</v>
      </c>
      <c r="D210" s="126">
        <v>4.0</v>
      </c>
      <c r="E210" s="60">
        <v>1.0</v>
      </c>
      <c r="F210" s="98">
        <f t="shared" si="11"/>
        <v>0.9809825674</v>
      </c>
      <c r="G210" s="68">
        <f t="shared" si="2"/>
        <v>0.4952</v>
      </c>
      <c r="H210" s="68">
        <f t="shared" si="3"/>
        <v>0.5048</v>
      </c>
      <c r="I210" s="72">
        <f t="shared" ref="I210:I212" si="33">($I$209*D210)/$D$209</f>
        <v>0.4</v>
      </c>
      <c r="J210" s="73"/>
      <c r="K210" s="74"/>
      <c r="L210" s="75">
        <v>0.21</v>
      </c>
      <c r="M210" s="127">
        <v>0.052</v>
      </c>
      <c r="N210" s="79" t="s">
        <v>651</v>
      </c>
      <c r="O210" s="82"/>
      <c r="P210" s="85"/>
    </row>
    <row r="211">
      <c r="A211" s="94"/>
      <c r="B211" s="96"/>
      <c r="C211" s="159" t="s">
        <v>515</v>
      </c>
      <c r="D211" s="126">
        <v>8.0</v>
      </c>
      <c r="E211" s="60">
        <v>1.5</v>
      </c>
      <c r="F211" s="98">
        <f t="shared" si="11"/>
        <v>0.4857369255</v>
      </c>
      <c r="G211" s="68">
        <f t="shared" si="2"/>
        <v>0.4904</v>
      </c>
      <c r="H211" s="68">
        <f t="shared" si="3"/>
        <v>1.0096</v>
      </c>
      <c r="I211" s="72">
        <f t="shared" si="33"/>
        <v>0.8</v>
      </c>
      <c r="J211" s="73"/>
      <c r="K211" s="74"/>
      <c r="L211" s="75">
        <v>0.21</v>
      </c>
      <c r="M211" s="127">
        <v>0.052</v>
      </c>
      <c r="N211" s="79" t="s">
        <v>651</v>
      </c>
      <c r="O211" s="82"/>
      <c r="P211" s="85"/>
    </row>
    <row r="212">
      <c r="A212" s="94"/>
      <c r="B212" s="96"/>
      <c r="C212" s="159" t="s">
        <v>615</v>
      </c>
      <c r="D212" s="126">
        <v>8.0</v>
      </c>
      <c r="E212" s="60">
        <v>2.5</v>
      </c>
      <c r="F212" s="98">
        <f t="shared" si="11"/>
        <v>1.476228209</v>
      </c>
      <c r="G212" s="68">
        <f t="shared" si="2"/>
        <v>1.4904</v>
      </c>
      <c r="H212" s="68">
        <f t="shared" si="3"/>
        <v>1.0096</v>
      </c>
      <c r="I212" s="72">
        <f t="shared" si="33"/>
        <v>0.8</v>
      </c>
      <c r="J212" s="73"/>
      <c r="K212" s="74"/>
      <c r="L212" s="75">
        <v>0.21</v>
      </c>
      <c r="M212" s="127">
        <v>0.052</v>
      </c>
      <c r="N212" s="79" t="s">
        <v>651</v>
      </c>
      <c r="O212" s="82"/>
      <c r="P212" s="85"/>
    </row>
    <row r="213">
      <c r="A213" s="160" t="s">
        <v>598</v>
      </c>
      <c r="B213" s="306" t="s">
        <v>758</v>
      </c>
      <c r="C213" s="319" t="s">
        <v>783</v>
      </c>
      <c r="D213" s="339">
        <v>100.0</v>
      </c>
      <c r="E213" s="164">
        <v>15.0</v>
      </c>
      <c r="F213" s="165">
        <f t="shared" si="11"/>
        <v>0.1885895404</v>
      </c>
      <c r="G213" s="166">
        <f t="shared" si="2"/>
        <v>2.38</v>
      </c>
      <c r="H213" s="166">
        <f t="shared" si="3"/>
        <v>12.62</v>
      </c>
      <c r="I213" s="340">
        <v>10.0</v>
      </c>
      <c r="J213" s="322">
        <v>1.0</v>
      </c>
      <c r="K213" s="169"/>
      <c r="L213" s="170">
        <v>0.21</v>
      </c>
      <c r="M213" s="205">
        <v>0.052</v>
      </c>
      <c r="N213" s="206" t="s">
        <v>147</v>
      </c>
      <c r="O213" s="82"/>
      <c r="P213" s="190"/>
    </row>
    <row r="214">
      <c r="A214" s="307"/>
      <c r="B214" s="308"/>
      <c r="C214" s="263" t="s">
        <v>608</v>
      </c>
      <c r="D214" s="265">
        <v>4.0</v>
      </c>
      <c r="E214" s="267">
        <v>1.0</v>
      </c>
      <c r="F214" s="270">
        <f t="shared" si="11"/>
        <v>1.066115702</v>
      </c>
      <c r="G214" s="272">
        <f t="shared" si="2"/>
        <v>0.516</v>
      </c>
      <c r="H214" s="272">
        <f t="shared" si="3"/>
        <v>0.484</v>
      </c>
      <c r="I214" s="276">
        <f t="shared" ref="I214:I216" si="34">($I$213*D214)/$D$213</f>
        <v>0.4</v>
      </c>
      <c r="J214" s="278"/>
      <c r="K214" s="279"/>
      <c r="L214" s="281">
        <v>0.21</v>
      </c>
      <c r="M214" s="327">
        <v>0.0</v>
      </c>
      <c r="N214" s="206" t="s">
        <v>147</v>
      </c>
      <c r="O214" s="82"/>
      <c r="P214" s="288"/>
    </row>
    <row r="215">
      <c r="A215" s="307"/>
      <c r="B215" s="308"/>
      <c r="C215" s="263" t="s">
        <v>515</v>
      </c>
      <c r="D215" s="265">
        <v>8.0</v>
      </c>
      <c r="E215" s="267">
        <v>1.5</v>
      </c>
      <c r="F215" s="270">
        <f t="shared" si="11"/>
        <v>0.5495867769</v>
      </c>
      <c r="G215" s="272">
        <f t="shared" si="2"/>
        <v>0.532</v>
      </c>
      <c r="H215" s="272">
        <f t="shared" si="3"/>
        <v>0.968</v>
      </c>
      <c r="I215" s="276">
        <f t="shared" si="34"/>
        <v>0.8</v>
      </c>
      <c r="J215" s="278"/>
      <c r="K215" s="279"/>
      <c r="L215" s="281">
        <v>0.21</v>
      </c>
      <c r="M215" s="327">
        <v>0.0</v>
      </c>
      <c r="N215" s="206" t="s">
        <v>147</v>
      </c>
      <c r="O215" s="82"/>
      <c r="P215" s="288"/>
    </row>
    <row r="216">
      <c r="A216" s="307"/>
      <c r="B216" s="308"/>
      <c r="C216" s="263" t="s">
        <v>615</v>
      </c>
      <c r="D216" s="265">
        <v>8.0</v>
      </c>
      <c r="E216" s="267">
        <v>2.5</v>
      </c>
      <c r="F216" s="270">
        <f t="shared" si="11"/>
        <v>1.582644628</v>
      </c>
      <c r="G216" s="272">
        <f t="shared" si="2"/>
        <v>1.532</v>
      </c>
      <c r="H216" s="272">
        <f t="shared" si="3"/>
        <v>0.968</v>
      </c>
      <c r="I216" s="276">
        <f t="shared" si="34"/>
        <v>0.8</v>
      </c>
      <c r="J216" s="278"/>
      <c r="K216" s="279"/>
      <c r="L216" s="281">
        <v>0.21</v>
      </c>
      <c r="M216" s="327">
        <v>0.0</v>
      </c>
      <c r="N216" s="206" t="s">
        <v>147</v>
      </c>
      <c r="O216" s="82"/>
      <c r="P216" s="288"/>
    </row>
    <row r="217">
      <c r="A217" s="94" t="s">
        <v>598</v>
      </c>
      <c r="B217" s="96" t="s">
        <v>784</v>
      </c>
      <c r="C217" s="58" t="s">
        <v>785</v>
      </c>
      <c r="D217" s="310">
        <v>100.0</v>
      </c>
      <c r="E217" s="60">
        <v>15.0</v>
      </c>
      <c r="F217" s="98">
        <f t="shared" si="11"/>
        <v>0.1885895404</v>
      </c>
      <c r="G217" s="68">
        <f t="shared" si="2"/>
        <v>2.38</v>
      </c>
      <c r="H217" s="68">
        <f t="shared" si="3"/>
        <v>12.62</v>
      </c>
      <c r="I217" s="200">
        <v>10.0</v>
      </c>
      <c r="J217" s="73"/>
      <c r="K217" s="74"/>
      <c r="L217" s="75">
        <v>0.21</v>
      </c>
      <c r="M217" s="127">
        <v>0.052</v>
      </c>
      <c r="N217" s="79" t="s">
        <v>786</v>
      </c>
      <c r="O217" s="82"/>
      <c r="P217" s="85"/>
    </row>
    <row r="218">
      <c r="A218" s="94"/>
      <c r="B218" s="96"/>
      <c r="C218" s="159" t="s">
        <v>608</v>
      </c>
      <c r="D218" s="126">
        <v>4.0</v>
      </c>
      <c r="E218" s="60">
        <v>1.0</v>
      </c>
      <c r="F218" s="98">
        <f t="shared" si="11"/>
        <v>1.066115702</v>
      </c>
      <c r="G218" s="68">
        <f t="shared" si="2"/>
        <v>0.516</v>
      </c>
      <c r="H218" s="68">
        <f t="shared" si="3"/>
        <v>0.484</v>
      </c>
      <c r="I218" s="72">
        <f t="shared" ref="I218:I220" si="35">($I$217*D218)/$D$217</f>
        <v>0.4</v>
      </c>
      <c r="J218" s="73"/>
      <c r="K218" s="74"/>
      <c r="L218" s="75">
        <v>0.21</v>
      </c>
      <c r="M218" s="76">
        <v>0.0</v>
      </c>
      <c r="N218" s="79" t="s">
        <v>786</v>
      </c>
      <c r="O218" s="82"/>
      <c r="P218" s="85"/>
    </row>
    <row r="219">
      <c r="A219" s="94"/>
      <c r="B219" s="96"/>
      <c r="C219" s="159" t="s">
        <v>515</v>
      </c>
      <c r="D219" s="126">
        <v>8.0</v>
      </c>
      <c r="E219" s="60">
        <v>1.5</v>
      </c>
      <c r="F219" s="98">
        <f t="shared" si="11"/>
        <v>0.5495867769</v>
      </c>
      <c r="G219" s="68">
        <f t="shared" si="2"/>
        <v>0.532</v>
      </c>
      <c r="H219" s="68">
        <f t="shared" si="3"/>
        <v>0.968</v>
      </c>
      <c r="I219" s="72">
        <f t="shared" si="35"/>
        <v>0.8</v>
      </c>
      <c r="J219" s="73"/>
      <c r="K219" s="74"/>
      <c r="L219" s="75">
        <v>0.21</v>
      </c>
      <c r="M219" s="76">
        <v>0.0</v>
      </c>
      <c r="N219" s="79" t="s">
        <v>786</v>
      </c>
      <c r="O219" s="82"/>
      <c r="P219" s="85"/>
    </row>
    <row r="220">
      <c r="A220" s="94"/>
      <c r="B220" s="96"/>
      <c r="C220" s="159" t="s">
        <v>615</v>
      </c>
      <c r="D220" s="126">
        <v>8.0</v>
      </c>
      <c r="E220" s="60">
        <v>2.5</v>
      </c>
      <c r="F220" s="98">
        <f t="shared" si="11"/>
        <v>1.582644628</v>
      </c>
      <c r="G220" s="68">
        <f t="shared" si="2"/>
        <v>1.532</v>
      </c>
      <c r="H220" s="68">
        <f t="shared" si="3"/>
        <v>0.968</v>
      </c>
      <c r="I220" s="72">
        <f t="shared" si="35"/>
        <v>0.8</v>
      </c>
      <c r="J220" s="73"/>
      <c r="K220" s="74"/>
      <c r="L220" s="75">
        <v>0.21</v>
      </c>
      <c r="M220" s="76">
        <v>0.0</v>
      </c>
      <c r="N220" s="79" t="s">
        <v>786</v>
      </c>
      <c r="O220" s="82"/>
      <c r="P220" s="85"/>
    </row>
    <row r="221">
      <c r="A221" s="94" t="s">
        <v>598</v>
      </c>
      <c r="B221" s="96" t="s">
        <v>784</v>
      </c>
      <c r="C221" s="58" t="s">
        <v>787</v>
      </c>
      <c r="D221" s="310">
        <v>70.0</v>
      </c>
      <c r="E221" s="60">
        <v>15.0</v>
      </c>
      <c r="F221" s="98">
        <f t="shared" si="11"/>
        <v>0.2396694215</v>
      </c>
      <c r="G221" s="68">
        <f t="shared" si="2"/>
        <v>2.9</v>
      </c>
      <c r="H221" s="68">
        <f t="shared" si="3"/>
        <v>12.1</v>
      </c>
      <c r="I221" s="200">
        <v>10.0</v>
      </c>
      <c r="J221" s="73"/>
      <c r="K221" s="74"/>
      <c r="L221" s="75">
        <v>0.21</v>
      </c>
      <c r="M221" s="76">
        <v>0.0</v>
      </c>
      <c r="N221" s="79" t="s">
        <v>651</v>
      </c>
      <c r="O221" s="82"/>
      <c r="P221" s="85"/>
    </row>
    <row r="222">
      <c r="A222" s="94"/>
      <c r="B222" s="96"/>
      <c r="C222" s="159" t="s">
        <v>608</v>
      </c>
      <c r="D222" s="126">
        <v>4.0</v>
      </c>
      <c r="E222" s="60">
        <v>1.0</v>
      </c>
      <c r="F222" s="98">
        <f t="shared" si="11"/>
        <v>0.4462809917</v>
      </c>
      <c r="G222" s="68">
        <f t="shared" si="2"/>
        <v>0.3085714286</v>
      </c>
      <c r="H222" s="68">
        <f t="shared" si="3"/>
        <v>0.6914285714</v>
      </c>
      <c r="I222" s="72">
        <f t="shared" ref="I222:I224" si="36">($I$221*D222)/$D$221</f>
        <v>0.5714285714</v>
      </c>
      <c r="J222" s="73"/>
      <c r="K222" s="74"/>
      <c r="L222" s="75">
        <v>0.21</v>
      </c>
      <c r="M222" s="76">
        <v>0.0</v>
      </c>
      <c r="N222" s="79" t="s">
        <v>651</v>
      </c>
      <c r="O222" s="82"/>
      <c r="P222" s="85"/>
    </row>
    <row r="223">
      <c r="A223" s="94"/>
      <c r="B223" s="96"/>
      <c r="C223" s="159" t="s">
        <v>515</v>
      </c>
      <c r="D223" s="126">
        <v>8.0</v>
      </c>
      <c r="E223" s="60">
        <v>1.5</v>
      </c>
      <c r="F223" s="98">
        <f t="shared" si="11"/>
        <v>0.0847107438</v>
      </c>
      <c r="G223" s="68">
        <f t="shared" si="2"/>
        <v>0.1171428571</v>
      </c>
      <c r="H223" s="68">
        <f t="shared" si="3"/>
        <v>1.382857143</v>
      </c>
      <c r="I223" s="72">
        <f t="shared" si="36"/>
        <v>1.142857143</v>
      </c>
      <c r="J223" s="73"/>
      <c r="K223" s="74"/>
      <c r="L223" s="75">
        <v>0.21</v>
      </c>
      <c r="M223" s="76">
        <v>0.0</v>
      </c>
      <c r="N223" s="79" t="s">
        <v>651</v>
      </c>
      <c r="O223" s="82"/>
      <c r="P223" s="85"/>
    </row>
    <row r="224">
      <c r="A224" s="94"/>
      <c r="B224" s="96"/>
      <c r="C224" s="159" t="s">
        <v>615</v>
      </c>
      <c r="D224" s="126">
        <v>8.0</v>
      </c>
      <c r="E224" s="60">
        <v>3.0</v>
      </c>
      <c r="F224" s="98">
        <f t="shared" si="11"/>
        <v>1.169421488</v>
      </c>
      <c r="G224" s="68">
        <f t="shared" si="2"/>
        <v>1.617142857</v>
      </c>
      <c r="H224" s="68">
        <f t="shared" si="3"/>
        <v>1.382857143</v>
      </c>
      <c r="I224" s="72">
        <f t="shared" si="36"/>
        <v>1.142857143</v>
      </c>
      <c r="J224" s="73"/>
      <c r="K224" s="74"/>
      <c r="L224" s="75">
        <v>0.21</v>
      </c>
      <c r="M224" s="76">
        <v>0.0</v>
      </c>
      <c r="N224" s="79" t="s">
        <v>651</v>
      </c>
      <c r="O224" s="82"/>
      <c r="P224" s="85"/>
    </row>
    <row r="225">
      <c r="A225" s="94" t="s">
        <v>598</v>
      </c>
      <c r="B225" s="96" t="s">
        <v>784</v>
      </c>
      <c r="C225" s="58" t="s">
        <v>788</v>
      </c>
      <c r="D225" s="310">
        <v>70.0</v>
      </c>
      <c r="E225" s="60">
        <v>20.0</v>
      </c>
      <c r="F225" s="98">
        <f t="shared" si="11"/>
        <v>0.1026634836</v>
      </c>
      <c r="G225" s="68">
        <f t="shared" si="2"/>
        <v>1.8621</v>
      </c>
      <c r="H225" s="68">
        <f t="shared" si="3"/>
        <v>18.1379</v>
      </c>
      <c r="I225" s="200">
        <v>14.99</v>
      </c>
      <c r="J225" s="73">
        <v>1.0</v>
      </c>
      <c r="K225" s="74"/>
      <c r="L225" s="75">
        <v>0.21</v>
      </c>
      <c r="M225" s="76">
        <v>0.0</v>
      </c>
      <c r="N225" s="79" t="s">
        <v>651</v>
      </c>
      <c r="O225" s="82"/>
      <c r="P225" s="85"/>
    </row>
    <row r="226">
      <c r="A226" s="94"/>
      <c r="B226" s="96"/>
      <c r="C226" s="159" t="s">
        <v>608</v>
      </c>
      <c r="D226" s="126">
        <v>4.0</v>
      </c>
      <c r="E226" s="60">
        <v>1.5</v>
      </c>
      <c r="F226" s="98">
        <f t="shared" si="11"/>
        <v>0.4472458223</v>
      </c>
      <c r="G226" s="68">
        <f t="shared" si="2"/>
        <v>0.4635485714</v>
      </c>
      <c r="H226" s="68">
        <f t="shared" si="3"/>
        <v>1.036451429</v>
      </c>
      <c r="I226" s="72">
        <f t="shared" ref="I226:I228" si="37">($I$225*D226)/$D$225</f>
        <v>0.8565714286</v>
      </c>
      <c r="J226" s="73"/>
      <c r="K226" s="74"/>
      <c r="L226" s="75">
        <v>0.21</v>
      </c>
      <c r="M226" s="76">
        <v>0.0</v>
      </c>
      <c r="N226" s="79" t="s">
        <v>651</v>
      </c>
      <c r="O226" s="82"/>
      <c r="P226" s="85"/>
    </row>
    <row r="227">
      <c r="A227" s="94"/>
      <c r="B227" s="96"/>
      <c r="C227" s="159" t="s">
        <v>515</v>
      </c>
      <c r="D227" s="126">
        <v>8.0</v>
      </c>
      <c r="E227" s="60">
        <v>2.5</v>
      </c>
      <c r="F227" s="98">
        <f t="shared" si="11"/>
        <v>0.2060381852</v>
      </c>
      <c r="G227" s="68">
        <f t="shared" si="2"/>
        <v>0.4270971429</v>
      </c>
      <c r="H227" s="68">
        <f t="shared" si="3"/>
        <v>2.072902857</v>
      </c>
      <c r="I227" s="72">
        <f t="shared" si="37"/>
        <v>1.713142857</v>
      </c>
      <c r="J227" s="73"/>
      <c r="K227" s="74"/>
      <c r="L227" s="75">
        <v>0.21</v>
      </c>
      <c r="M227" s="76">
        <v>0.0</v>
      </c>
      <c r="N227" s="79" t="s">
        <v>651</v>
      </c>
      <c r="O227" s="82"/>
      <c r="P227" s="85"/>
    </row>
    <row r="228">
      <c r="A228" s="94"/>
      <c r="B228" s="96"/>
      <c r="C228" s="159" t="s">
        <v>615</v>
      </c>
      <c r="D228" s="126">
        <v>8.0</v>
      </c>
      <c r="E228" s="60">
        <v>5.0</v>
      </c>
      <c r="F228" s="98">
        <f t="shared" si="11"/>
        <v>1.41207637</v>
      </c>
      <c r="G228" s="68">
        <f t="shared" si="2"/>
        <v>2.927097143</v>
      </c>
      <c r="H228" s="68">
        <f t="shared" si="3"/>
        <v>2.072902857</v>
      </c>
      <c r="I228" s="72">
        <f t="shared" si="37"/>
        <v>1.713142857</v>
      </c>
      <c r="J228" s="73"/>
      <c r="K228" s="74"/>
      <c r="L228" s="75">
        <v>0.21</v>
      </c>
      <c r="M228" s="76">
        <v>0.0</v>
      </c>
      <c r="N228" s="79" t="s">
        <v>651</v>
      </c>
      <c r="O228" s="82"/>
      <c r="P228" s="85"/>
    </row>
    <row r="229">
      <c r="A229" s="94" t="s">
        <v>598</v>
      </c>
      <c r="B229" s="96" t="s">
        <v>784</v>
      </c>
      <c r="C229" s="58" t="s">
        <v>789</v>
      </c>
      <c r="D229" s="310">
        <v>100.0</v>
      </c>
      <c r="E229" s="60">
        <v>35.0</v>
      </c>
      <c r="F229" s="98">
        <f t="shared" si="11"/>
        <v>0.5893269881</v>
      </c>
      <c r="G229" s="68">
        <f t="shared" si="2"/>
        <v>12.9781</v>
      </c>
      <c r="H229" s="68">
        <f t="shared" si="3"/>
        <v>22.0219</v>
      </c>
      <c r="I229" s="200">
        <v>17.45</v>
      </c>
      <c r="J229" s="73">
        <v>1.0</v>
      </c>
      <c r="K229" s="74"/>
      <c r="L229" s="75">
        <v>0.21</v>
      </c>
      <c r="M229" s="127">
        <v>0.052</v>
      </c>
      <c r="N229" s="79" t="s">
        <v>448</v>
      </c>
      <c r="O229" s="82"/>
      <c r="P229" s="85"/>
    </row>
    <row r="230">
      <c r="A230" s="94"/>
      <c r="B230" s="96"/>
      <c r="C230" s="159" t="s">
        <v>608</v>
      </c>
      <c r="D230" s="126">
        <v>4.0</v>
      </c>
      <c r="E230" s="60">
        <v>1.0</v>
      </c>
      <c r="F230" s="98">
        <f t="shared" si="11"/>
        <v>0.135233563</v>
      </c>
      <c r="G230" s="68">
        <f t="shared" si="2"/>
        <v>0.119124</v>
      </c>
      <c r="H230" s="68">
        <f t="shared" si="3"/>
        <v>0.880876</v>
      </c>
      <c r="I230" s="72">
        <f t="shared" ref="I230:I232" si="38">($I$229*D230)/$D$229</f>
        <v>0.698</v>
      </c>
      <c r="J230" s="73"/>
      <c r="K230" s="74"/>
      <c r="L230" s="75">
        <v>0.21</v>
      </c>
      <c r="M230" s="127">
        <v>0.052</v>
      </c>
      <c r="N230" s="79" t="s">
        <v>448</v>
      </c>
      <c r="O230" s="82"/>
      <c r="P230" s="85"/>
    </row>
    <row r="231">
      <c r="A231" s="94"/>
      <c r="B231" s="96"/>
      <c r="C231" s="159" t="s">
        <v>515</v>
      </c>
      <c r="D231" s="126">
        <v>8.0</v>
      </c>
      <c r="E231" s="60">
        <v>4.0</v>
      </c>
      <c r="F231" s="98">
        <f t="shared" si="11"/>
        <v>1.270467126</v>
      </c>
      <c r="G231" s="68">
        <f t="shared" si="2"/>
        <v>2.238248</v>
      </c>
      <c r="H231" s="68">
        <f t="shared" si="3"/>
        <v>1.761752</v>
      </c>
      <c r="I231" s="72">
        <f t="shared" si="38"/>
        <v>1.396</v>
      </c>
      <c r="J231" s="73"/>
      <c r="K231" s="74"/>
      <c r="L231" s="75">
        <v>0.21</v>
      </c>
      <c r="M231" s="127">
        <v>0.052</v>
      </c>
      <c r="N231" s="79" t="s">
        <v>448</v>
      </c>
      <c r="O231" s="82"/>
      <c r="P231" s="85"/>
    </row>
    <row r="232">
      <c r="A232" s="94"/>
      <c r="B232" s="96"/>
      <c r="C232" s="159" t="s">
        <v>615</v>
      </c>
      <c r="D232" s="126">
        <v>8.0</v>
      </c>
      <c r="E232" s="60">
        <v>4.5</v>
      </c>
      <c r="F232" s="98">
        <f t="shared" si="11"/>
        <v>1.554275517</v>
      </c>
      <c r="G232" s="68">
        <f t="shared" si="2"/>
        <v>2.738248</v>
      </c>
      <c r="H232" s="68">
        <f t="shared" si="3"/>
        <v>1.761752</v>
      </c>
      <c r="I232" s="72">
        <f t="shared" si="38"/>
        <v>1.396</v>
      </c>
      <c r="J232" s="73"/>
      <c r="K232" s="74"/>
      <c r="L232" s="75">
        <v>0.21</v>
      </c>
      <c r="M232" s="127">
        <v>0.052</v>
      </c>
      <c r="N232" s="79" t="s">
        <v>448</v>
      </c>
      <c r="O232" s="82"/>
      <c r="P232" s="85"/>
    </row>
    <row r="233">
      <c r="A233" s="94" t="s">
        <v>598</v>
      </c>
      <c r="B233" s="96" t="s">
        <v>784</v>
      </c>
      <c r="C233" s="58" t="s">
        <v>790</v>
      </c>
      <c r="D233" s="310">
        <v>100.0</v>
      </c>
      <c r="E233" s="60">
        <v>15.0</v>
      </c>
      <c r="F233" s="98">
        <f t="shared" si="11"/>
        <v>0.2485184248</v>
      </c>
      <c r="G233" s="68">
        <f t="shared" si="2"/>
        <v>2.98576</v>
      </c>
      <c r="H233" s="68">
        <f t="shared" si="3"/>
        <v>12.01424</v>
      </c>
      <c r="I233" s="200">
        <v>9.52</v>
      </c>
      <c r="J233" s="73">
        <v>1.0</v>
      </c>
      <c r="K233" s="74"/>
      <c r="L233" s="75">
        <v>0.21</v>
      </c>
      <c r="M233" s="127">
        <v>0.052</v>
      </c>
      <c r="N233" s="79" t="s">
        <v>448</v>
      </c>
      <c r="O233" s="82"/>
      <c r="P233" s="85"/>
    </row>
    <row r="234">
      <c r="A234" s="94"/>
      <c r="B234" s="96"/>
      <c r="C234" s="159" t="s">
        <v>608</v>
      </c>
      <c r="D234" s="126">
        <v>4.0</v>
      </c>
      <c r="E234" s="60">
        <v>1.0</v>
      </c>
      <c r="F234" s="98">
        <f t="shared" si="11"/>
        <v>1.080864041</v>
      </c>
      <c r="G234" s="68">
        <f t="shared" si="2"/>
        <v>0.5194304</v>
      </c>
      <c r="H234" s="68">
        <f t="shared" si="3"/>
        <v>0.4805696</v>
      </c>
      <c r="I234" s="72">
        <f t="shared" ref="I234:I236" si="39">($I$233*D234)/$D$233</f>
        <v>0.3808</v>
      </c>
      <c r="J234" s="73"/>
      <c r="K234" s="74"/>
      <c r="L234" s="75">
        <v>0.21</v>
      </c>
      <c r="M234" s="127">
        <v>0.052</v>
      </c>
      <c r="N234" s="79" t="s">
        <v>448</v>
      </c>
      <c r="O234" s="82"/>
      <c r="P234" s="85"/>
    </row>
    <row r="235">
      <c r="A235" s="94"/>
      <c r="B235" s="96"/>
      <c r="C235" s="159" t="s">
        <v>515</v>
      </c>
      <c r="D235" s="126">
        <v>8.0</v>
      </c>
      <c r="E235" s="60">
        <v>1.5</v>
      </c>
      <c r="F235" s="98">
        <f t="shared" si="11"/>
        <v>0.560648031</v>
      </c>
      <c r="G235" s="68">
        <f t="shared" si="2"/>
        <v>0.5388608</v>
      </c>
      <c r="H235" s="68">
        <f t="shared" si="3"/>
        <v>0.9611392</v>
      </c>
      <c r="I235" s="72">
        <f t="shared" si="39"/>
        <v>0.7616</v>
      </c>
      <c r="J235" s="73"/>
      <c r="K235" s="74"/>
      <c r="L235" s="75">
        <v>0.21</v>
      </c>
      <c r="M235" s="127">
        <v>0.052</v>
      </c>
      <c r="N235" s="79" t="s">
        <v>448</v>
      </c>
      <c r="O235" s="82"/>
      <c r="P235" s="85"/>
    </row>
    <row r="236">
      <c r="A236" s="94"/>
      <c r="B236" s="96"/>
      <c r="C236" s="159" t="s">
        <v>615</v>
      </c>
      <c r="D236" s="126">
        <v>8.0</v>
      </c>
      <c r="E236" s="60">
        <v>3.0</v>
      </c>
      <c r="F236" s="98">
        <f t="shared" si="11"/>
        <v>2.121296062</v>
      </c>
      <c r="G236" s="68">
        <f t="shared" si="2"/>
        <v>2.0388608</v>
      </c>
      <c r="H236" s="68">
        <f t="shared" si="3"/>
        <v>0.9611392</v>
      </c>
      <c r="I236" s="72">
        <f t="shared" si="39"/>
        <v>0.7616</v>
      </c>
      <c r="J236" s="73"/>
      <c r="K236" s="74"/>
      <c r="L236" s="75">
        <v>0.21</v>
      </c>
      <c r="M236" s="127">
        <v>0.052</v>
      </c>
      <c r="N236" s="79" t="s">
        <v>448</v>
      </c>
      <c r="O236" s="82"/>
      <c r="P236" s="85"/>
    </row>
    <row r="237">
      <c r="A237" s="94" t="s">
        <v>598</v>
      </c>
      <c r="B237" s="96" t="s">
        <v>784</v>
      </c>
      <c r="C237" s="58" t="s">
        <v>791</v>
      </c>
      <c r="D237" s="310">
        <v>70.0</v>
      </c>
      <c r="E237" s="60">
        <v>20.0</v>
      </c>
      <c r="F237" s="98">
        <f t="shared" si="11"/>
        <v>0.5401225013</v>
      </c>
      <c r="G237" s="68">
        <f t="shared" si="2"/>
        <v>7.01402</v>
      </c>
      <c r="H237" s="68">
        <f t="shared" si="3"/>
        <v>12.98598</v>
      </c>
      <c r="I237" s="200">
        <v>10.29</v>
      </c>
      <c r="J237" s="73">
        <v>1.0</v>
      </c>
      <c r="K237" s="74"/>
      <c r="L237" s="75">
        <v>0.21</v>
      </c>
      <c r="M237" s="127">
        <v>0.052</v>
      </c>
      <c r="N237" s="79" t="s">
        <v>448</v>
      </c>
      <c r="O237" s="82"/>
      <c r="P237" s="85"/>
    </row>
    <row r="238">
      <c r="A238" s="94"/>
      <c r="B238" s="96"/>
      <c r="C238" s="159" t="s">
        <v>608</v>
      </c>
      <c r="D238" s="126">
        <v>4.0</v>
      </c>
      <c r="E238" s="60">
        <v>1.0</v>
      </c>
      <c r="F238" s="98">
        <f t="shared" si="11"/>
        <v>0.3476071887</v>
      </c>
      <c r="G238" s="68">
        <f t="shared" si="2"/>
        <v>0.257944</v>
      </c>
      <c r="H238" s="68">
        <f t="shared" si="3"/>
        <v>0.742056</v>
      </c>
      <c r="I238" s="72">
        <f t="shared" ref="I238:I240" si="40">($I$237*D238)/$D$237</f>
        <v>0.588</v>
      </c>
      <c r="J238" s="73"/>
      <c r="K238" s="74"/>
      <c r="L238" s="75">
        <v>0.21</v>
      </c>
      <c r="M238" s="127">
        <v>0.052</v>
      </c>
      <c r="N238" s="79" t="s">
        <v>448</v>
      </c>
      <c r="O238" s="82"/>
      <c r="P238" s="85"/>
    </row>
    <row r="239">
      <c r="A239" s="94"/>
      <c r="B239" s="96"/>
      <c r="C239" s="159" t="s">
        <v>515</v>
      </c>
      <c r="D239" s="126">
        <v>8.0</v>
      </c>
      <c r="E239" s="60">
        <v>2.0</v>
      </c>
      <c r="F239" s="98">
        <f t="shared" si="11"/>
        <v>0.3476071887</v>
      </c>
      <c r="G239" s="68">
        <f t="shared" si="2"/>
        <v>0.515888</v>
      </c>
      <c r="H239" s="68">
        <f t="shared" si="3"/>
        <v>1.484112</v>
      </c>
      <c r="I239" s="72">
        <f t="shared" si="40"/>
        <v>1.176</v>
      </c>
      <c r="J239" s="73"/>
      <c r="K239" s="74"/>
      <c r="L239" s="75">
        <v>0.21</v>
      </c>
      <c r="M239" s="127">
        <v>0.052</v>
      </c>
      <c r="N239" s="79" t="s">
        <v>448</v>
      </c>
      <c r="O239" s="82"/>
      <c r="P239" s="85"/>
    </row>
    <row r="240">
      <c r="A240" s="94"/>
      <c r="B240" s="96"/>
      <c r="C240" s="159" t="s">
        <v>615</v>
      </c>
      <c r="D240" s="126">
        <v>8.0</v>
      </c>
      <c r="E240" s="60">
        <v>3.5</v>
      </c>
      <c r="F240" s="98">
        <f t="shared" si="11"/>
        <v>1.35831258</v>
      </c>
      <c r="G240" s="68">
        <f t="shared" si="2"/>
        <v>2.015888</v>
      </c>
      <c r="H240" s="68">
        <f t="shared" si="3"/>
        <v>1.484112</v>
      </c>
      <c r="I240" s="72">
        <f t="shared" si="40"/>
        <v>1.176</v>
      </c>
      <c r="J240" s="73"/>
      <c r="K240" s="74"/>
      <c r="L240" s="75">
        <v>0.21</v>
      </c>
      <c r="M240" s="127">
        <v>0.052</v>
      </c>
      <c r="N240" s="79" t="s">
        <v>448</v>
      </c>
      <c r="O240" s="82"/>
      <c r="P240" s="85"/>
    </row>
    <row r="241">
      <c r="A241" s="94" t="s">
        <v>598</v>
      </c>
      <c r="B241" s="96" t="s">
        <v>784</v>
      </c>
      <c r="C241" s="58" t="s">
        <v>792</v>
      </c>
      <c r="D241" s="310">
        <v>70.0</v>
      </c>
      <c r="E241" s="60">
        <v>20.0</v>
      </c>
      <c r="F241" s="98">
        <f t="shared" si="11"/>
        <v>0.5107588693</v>
      </c>
      <c r="G241" s="68">
        <f t="shared" si="2"/>
        <v>6.76162</v>
      </c>
      <c r="H241" s="68">
        <f t="shared" si="3"/>
        <v>13.23838</v>
      </c>
      <c r="I241" s="200">
        <v>10.49</v>
      </c>
      <c r="J241" s="73">
        <v>1.0</v>
      </c>
      <c r="K241" s="74"/>
      <c r="L241" s="75">
        <v>0.21</v>
      </c>
      <c r="M241" s="127">
        <v>0.052</v>
      </c>
      <c r="N241" s="79" t="s">
        <v>448</v>
      </c>
      <c r="O241" s="82"/>
      <c r="P241" s="85"/>
    </row>
    <row r="242">
      <c r="A242" s="94"/>
      <c r="B242" s="96"/>
      <c r="C242" s="159" t="s">
        <v>608</v>
      </c>
      <c r="D242" s="126">
        <v>4.0</v>
      </c>
      <c r="E242" s="60">
        <v>1.0</v>
      </c>
      <c r="F242" s="98">
        <f t="shared" si="11"/>
        <v>0.3219140106</v>
      </c>
      <c r="G242" s="68">
        <f t="shared" si="2"/>
        <v>0.2435211429</v>
      </c>
      <c r="H242" s="68">
        <f t="shared" si="3"/>
        <v>0.7564788571</v>
      </c>
      <c r="I242" s="72">
        <f t="shared" ref="I242:I244" si="41">($I$241*D242)/$D$241</f>
        <v>0.5994285714</v>
      </c>
      <c r="J242" s="73"/>
      <c r="K242" s="74"/>
      <c r="L242" s="75">
        <v>0.21</v>
      </c>
      <c r="M242" s="127">
        <v>0.052</v>
      </c>
      <c r="N242" s="79" t="s">
        <v>448</v>
      </c>
      <c r="O242" s="82"/>
      <c r="P242" s="85"/>
    </row>
    <row r="243">
      <c r="A243" s="94"/>
      <c r="B243" s="96"/>
      <c r="C243" s="159" t="s">
        <v>515</v>
      </c>
      <c r="D243" s="126">
        <v>8.0</v>
      </c>
      <c r="E243" s="60">
        <v>2.0</v>
      </c>
      <c r="F243" s="98">
        <f t="shared" si="11"/>
        <v>0.3219140106</v>
      </c>
      <c r="G243" s="68">
        <f t="shared" si="2"/>
        <v>0.4870422857</v>
      </c>
      <c r="H243" s="68">
        <f t="shared" si="3"/>
        <v>1.512957714</v>
      </c>
      <c r="I243" s="72">
        <f t="shared" si="41"/>
        <v>1.198857143</v>
      </c>
      <c r="J243" s="73"/>
      <c r="K243" s="74"/>
      <c r="L243" s="75">
        <v>0.21</v>
      </c>
      <c r="M243" s="127">
        <v>0.052</v>
      </c>
      <c r="N243" s="79" t="s">
        <v>448</v>
      </c>
      <c r="O243" s="82"/>
      <c r="P243" s="85"/>
    </row>
    <row r="244">
      <c r="A244" s="94"/>
      <c r="B244" s="96"/>
      <c r="C244" s="159" t="s">
        <v>615</v>
      </c>
      <c r="D244" s="126">
        <v>10.0</v>
      </c>
      <c r="E244" s="60">
        <v>3.0</v>
      </c>
      <c r="F244" s="98">
        <f t="shared" si="11"/>
        <v>0.5862968128</v>
      </c>
      <c r="G244" s="68">
        <f t="shared" si="2"/>
        <v>1.108802857</v>
      </c>
      <c r="H244" s="68">
        <f t="shared" si="3"/>
        <v>1.891197143</v>
      </c>
      <c r="I244" s="72">
        <f t="shared" si="41"/>
        <v>1.498571429</v>
      </c>
      <c r="J244" s="73"/>
      <c r="K244" s="74"/>
      <c r="L244" s="75">
        <v>0.21</v>
      </c>
      <c r="M244" s="127">
        <v>0.052</v>
      </c>
      <c r="N244" s="79" t="s">
        <v>448</v>
      </c>
      <c r="O244" s="82"/>
      <c r="P244" s="85"/>
    </row>
    <row r="245">
      <c r="A245" s="94" t="s">
        <v>598</v>
      </c>
      <c r="B245" s="96" t="s">
        <v>784</v>
      </c>
      <c r="C245" s="58" t="s">
        <v>793</v>
      </c>
      <c r="D245" s="310">
        <v>70.0</v>
      </c>
      <c r="E245" s="60">
        <v>17.0</v>
      </c>
      <c r="F245" s="98">
        <f t="shared" si="11"/>
        <v>0.2817013756</v>
      </c>
      <c r="G245" s="68">
        <f t="shared" si="2"/>
        <v>3.73638</v>
      </c>
      <c r="H245" s="68">
        <f t="shared" si="3"/>
        <v>13.26362</v>
      </c>
      <c r="I245" s="200">
        <v>10.51</v>
      </c>
      <c r="J245" s="73">
        <v>1.0</v>
      </c>
      <c r="K245" s="74"/>
      <c r="L245" s="75">
        <v>0.21</v>
      </c>
      <c r="M245" s="127">
        <v>0.052</v>
      </c>
      <c r="N245" s="79" t="s">
        <v>448</v>
      </c>
      <c r="O245" s="82"/>
      <c r="P245" s="85"/>
    </row>
    <row r="246">
      <c r="A246" s="94"/>
      <c r="B246" s="96"/>
      <c r="C246" s="159" t="s">
        <v>608</v>
      </c>
      <c r="D246" s="126">
        <v>4.0</v>
      </c>
      <c r="E246" s="60">
        <v>1.0</v>
      </c>
      <c r="F246" s="98">
        <f t="shared" si="11"/>
        <v>0.3193984749</v>
      </c>
      <c r="G246" s="68">
        <f t="shared" si="2"/>
        <v>0.2420788571</v>
      </c>
      <c r="H246" s="68">
        <f t="shared" si="3"/>
        <v>0.7579211429</v>
      </c>
      <c r="I246" s="72">
        <f t="shared" ref="I246:I248" si="42">($I$245*D246)/$D$245</f>
        <v>0.6005714286</v>
      </c>
      <c r="J246" s="73"/>
      <c r="K246" s="74"/>
      <c r="L246" s="75">
        <v>0.21</v>
      </c>
      <c r="M246" s="127">
        <v>0.052</v>
      </c>
      <c r="N246" s="79" t="s">
        <v>448</v>
      </c>
      <c r="O246" s="82"/>
      <c r="P246" s="85"/>
    </row>
    <row r="247">
      <c r="A247" s="94"/>
      <c r="B247" s="96"/>
      <c r="C247" s="159" t="s">
        <v>515</v>
      </c>
      <c r="D247" s="126">
        <v>8.0</v>
      </c>
      <c r="E247" s="60">
        <v>2.0</v>
      </c>
      <c r="F247" s="98">
        <f t="shared" si="11"/>
        <v>0.3193984749</v>
      </c>
      <c r="G247" s="68">
        <f t="shared" si="2"/>
        <v>0.4841577143</v>
      </c>
      <c r="H247" s="68">
        <f t="shared" si="3"/>
        <v>1.515842286</v>
      </c>
      <c r="I247" s="72">
        <f t="shared" si="42"/>
        <v>1.201142857</v>
      </c>
      <c r="J247" s="73"/>
      <c r="K247" s="74"/>
      <c r="L247" s="75">
        <v>0.21</v>
      </c>
      <c r="M247" s="127">
        <v>0.052</v>
      </c>
      <c r="N247" s="79" t="s">
        <v>448</v>
      </c>
      <c r="O247" s="82"/>
      <c r="P247" s="85"/>
    </row>
    <row r="248">
      <c r="A248" s="94"/>
      <c r="B248" s="96"/>
      <c r="C248" s="159" t="s">
        <v>615</v>
      </c>
      <c r="D248" s="126">
        <v>8.0</v>
      </c>
      <c r="E248" s="60">
        <v>3.0</v>
      </c>
      <c r="F248" s="98">
        <f t="shared" si="11"/>
        <v>0.9790977124</v>
      </c>
      <c r="G248" s="68">
        <f t="shared" si="2"/>
        <v>1.484157714</v>
      </c>
      <c r="H248" s="68">
        <f t="shared" si="3"/>
        <v>1.515842286</v>
      </c>
      <c r="I248" s="72">
        <f t="shared" si="42"/>
        <v>1.201142857</v>
      </c>
      <c r="J248" s="73"/>
      <c r="K248" s="74"/>
      <c r="L248" s="75">
        <v>0.21</v>
      </c>
      <c r="M248" s="127">
        <v>0.052</v>
      </c>
      <c r="N248" s="79" t="s">
        <v>448</v>
      </c>
      <c r="O248" s="82"/>
      <c r="P248" s="85"/>
    </row>
    <row r="249">
      <c r="A249" s="94" t="s">
        <v>598</v>
      </c>
      <c r="B249" s="96" t="s">
        <v>758</v>
      </c>
      <c r="C249" s="58" t="s">
        <v>794</v>
      </c>
      <c r="D249" s="310">
        <v>300.0</v>
      </c>
      <c r="E249" s="60">
        <v>20.0</v>
      </c>
      <c r="F249" s="98">
        <f t="shared" si="11"/>
        <v>0.1478420569</v>
      </c>
      <c r="G249" s="68">
        <f t="shared" si="2"/>
        <v>2.576</v>
      </c>
      <c r="H249" s="68">
        <f t="shared" si="3"/>
        <v>17.424</v>
      </c>
      <c r="I249" s="200">
        <v>14.4</v>
      </c>
      <c r="J249" s="73">
        <v>1.0</v>
      </c>
      <c r="K249" s="74"/>
      <c r="L249" s="75">
        <v>0.21</v>
      </c>
      <c r="M249" s="76">
        <v>0.0</v>
      </c>
      <c r="N249" s="79" t="s">
        <v>147</v>
      </c>
      <c r="O249" s="82"/>
      <c r="P249" s="85"/>
    </row>
    <row r="250">
      <c r="A250" s="94"/>
      <c r="B250" s="96"/>
      <c r="C250" s="159" t="s">
        <v>608</v>
      </c>
      <c r="D250" s="126">
        <v>4.0</v>
      </c>
      <c r="E250" s="60">
        <v>1.0</v>
      </c>
      <c r="F250" s="98">
        <f t="shared" si="11"/>
        <v>3.304407713</v>
      </c>
      <c r="G250" s="68">
        <f t="shared" si="2"/>
        <v>0.76768</v>
      </c>
      <c r="H250" s="68">
        <f t="shared" si="3"/>
        <v>0.23232</v>
      </c>
      <c r="I250" s="72">
        <f t="shared" ref="I250:I251" si="43">($I$249*D250)/$D$249</f>
        <v>0.192</v>
      </c>
      <c r="J250" s="73"/>
      <c r="K250" s="74"/>
      <c r="L250" s="75">
        <v>0.21</v>
      </c>
      <c r="M250" s="76">
        <v>0.0</v>
      </c>
      <c r="N250" s="79" t="s">
        <v>147</v>
      </c>
      <c r="O250" s="82"/>
      <c r="P250" s="85"/>
    </row>
    <row r="251">
      <c r="A251" s="94"/>
      <c r="B251" s="96"/>
      <c r="C251" s="159" t="s">
        <v>515</v>
      </c>
      <c r="D251" s="126">
        <v>8.0</v>
      </c>
      <c r="E251" s="60">
        <v>1.5</v>
      </c>
      <c r="F251" s="98">
        <f t="shared" si="11"/>
        <v>2.228305785</v>
      </c>
      <c r="G251" s="68">
        <f t="shared" si="2"/>
        <v>1.03536</v>
      </c>
      <c r="H251" s="68">
        <f t="shared" si="3"/>
        <v>0.46464</v>
      </c>
      <c r="I251" s="72">
        <f t="shared" si="43"/>
        <v>0.384</v>
      </c>
      <c r="J251" s="73"/>
      <c r="K251" s="74"/>
      <c r="L251" s="75">
        <v>0.21</v>
      </c>
      <c r="M251" s="76">
        <v>0.0</v>
      </c>
      <c r="N251" s="79" t="s">
        <v>147</v>
      </c>
      <c r="O251" s="82"/>
      <c r="P251" s="85"/>
    </row>
    <row r="252">
      <c r="A252" s="94" t="s">
        <v>598</v>
      </c>
      <c r="B252" s="96" t="s">
        <v>758</v>
      </c>
      <c r="C252" s="58" t="s">
        <v>795</v>
      </c>
      <c r="D252" s="310">
        <v>100.0</v>
      </c>
      <c r="E252" s="60">
        <v>12.0</v>
      </c>
      <c r="F252" s="98">
        <f t="shared" si="11"/>
        <v>0.4651334859</v>
      </c>
      <c r="G252" s="68">
        <f t="shared" si="2"/>
        <v>3.80962</v>
      </c>
      <c r="H252" s="68">
        <f t="shared" si="3"/>
        <v>8.19038</v>
      </c>
      <c r="I252" s="200">
        <v>6.49</v>
      </c>
      <c r="J252" s="73">
        <v>1.0</v>
      </c>
      <c r="K252" s="74"/>
      <c r="L252" s="75">
        <v>0.21</v>
      </c>
      <c r="M252" s="127">
        <v>0.052</v>
      </c>
      <c r="N252" s="79" t="s">
        <v>448</v>
      </c>
      <c r="O252" s="82"/>
      <c r="P252" s="85"/>
    </row>
    <row r="253">
      <c r="A253" s="94"/>
      <c r="B253" s="96"/>
      <c r="C253" s="159" t="s">
        <v>608</v>
      </c>
      <c r="D253" s="126">
        <v>4.0</v>
      </c>
      <c r="E253" s="60">
        <v>1.0</v>
      </c>
      <c r="F253" s="98">
        <f t="shared" si="11"/>
        <v>2.052361429</v>
      </c>
      <c r="G253" s="68">
        <f t="shared" si="2"/>
        <v>0.6723848</v>
      </c>
      <c r="H253" s="68">
        <f t="shared" si="3"/>
        <v>0.3276152</v>
      </c>
      <c r="I253" s="72">
        <f t="shared" ref="I253:I254" si="44">($I$252*D253)/$D$252</f>
        <v>0.2596</v>
      </c>
      <c r="J253" s="73"/>
      <c r="K253" s="74"/>
      <c r="L253" s="75">
        <v>0.21</v>
      </c>
      <c r="M253" s="127">
        <v>0.052</v>
      </c>
      <c r="N253" s="79" t="s">
        <v>448</v>
      </c>
      <c r="O253" s="82"/>
      <c r="P253" s="85"/>
    </row>
    <row r="254">
      <c r="A254" s="94"/>
      <c r="B254" s="96"/>
      <c r="C254" s="159" t="s">
        <v>515</v>
      </c>
      <c r="D254" s="126">
        <v>8.0</v>
      </c>
      <c r="E254" s="60">
        <v>1.5</v>
      </c>
      <c r="F254" s="98">
        <f t="shared" si="11"/>
        <v>1.289271072</v>
      </c>
      <c r="G254" s="68">
        <f t="shared" si="2"/>
        <v>0.8447696</v>
      </c>
      <c r="H254" s="68">
        <f t="shared" si="3"/>
        <v>0.6552304</v>
      </c>
      <c r="I254" s="72">
        <f t="shared" si="44"/>
        <v>0.5192</v>
      </c>
      <c r="J254" s="73"/>
      <c r="K254" s="74"/>
      <c r="L254" s="75">
        <v>0.21</v>
      </c>
      <c r="M254" s="127">
        <v>0.052</v>
      </c>
      <c r="N254" s="79" t="s">
        <v>448</v>
      </c>
      <c r="O254" s="82"/>
      <c r="P254" s="85"/>
    </row>
    <row r="255">
      <c r="A255" s="94" t="s">
        <v>598</v>
      </c>
      <c r="B255" s="96" t="s">
        <v>758</v>
      </c>
      <c r="C255" s="58" t="s">
        <v>796</v>
      </c>
      <c r="D255" s="310">
        <v>100.0</v>
      </c>
      <c r="E255" s="60">
        <v>20.0</v>
      </c>
      <c r="F255" s="98">
        <f t="shared" si="11"/>
        <v>0.340545468</v>
      </c>
      <c r="G255" s="68">
        <f t="shared" si="2"/>
        <v>5.0807</v>
      </c>
      <c r="H255" s="68">
        <f t="shared" si="3"/>
        <v>14.9193</v>
      </c>
      <c r="I255" s="200">
        <v>12.33</v>
      </c>
      <c r="J255" s="73">
        <v>1.0</v>
      </c>
      <c r="K255" s="74"/>
      <c r="L255" s="75">
        <v>0.21</v>
      </c>
      <c r="M255" s="76">
        <v>0.0</v>
      </c>
      <c r="N255" s="79" t="s">
        <v>651</v>
      </c>
      <c r="O255" s="82"/>
      <c r="P255" s="85"/>
    </row>
    <row r="256">
      <c r="A256" s="94"/>
      <c r="B256" s="96"/>
      <c r="C256" s="159" t="s">
        <v>608</v>
      </c>
      <c r="D256" s="126">
        <v>4.0</v>
      </c>
      <c r="E256" s="60">
        <v>1.0</v>
      </c>
      <c r="F256" s="98">
        <f t="shared" si="11"/>
        <v>0.6756818349</v>
      </c>
      <c r="G256" s="68">
        <f t="shared" si="2"/>
        <v>0.403228</v>
      </c>
      <c r="H256" s="68">
        <f t="shared" si="3"/>
        <v>0.596772</v>
      </c>
      <c r="I256" s="72">
        <f t="shared" ref="I256:I257" si="45">($I$255*D256)/$D$255</f>
        <v>0.4932</v>
      </c>
      <c r="J256" s="73"/>
      <c r="K256" s="74"/>
      <c r="L256" s="75">
        <v>0.21</v>
      </c>
      <c r="M256" s="76">
        <v>0.0</v>
      </c>
      <c r="N256" s="79" t="s">
        <v>651</v>
      </c>
      <c r="O256" s="82"/>
      <c r="P256" s="85"/>
    </row>
    <row r="257">
      <c r="A257" s="94"/>
      <c r="B257" s="96"/>
      <c r="C257" s="159" t="s">
        <v>515</v>
      </c>
      <c r="D257" s="126">
        <v>8.0</v>
      </c>
      <c r="E257" s="60">
        <v>2.0</v>
      </c>
      <c r="F257" s="98">
        <f t="shared" si="11"/>
        <v>0.6756818349</v>
      </c>
      <c r="G257" s="68">
        <f t="shared" si="2"/>
        <v>0.806456</v>
      </c>
      <c r="H257" s="68">
        <f t="shared" si="3"/>
        <v>1.193544</v>
      </c>
      <c r="I257" s="72">
        <f t="shared" si="45"/>
        <v>0.9864</v>
      </c>
      <c r="J257" s="73"/>
      <c r="K257" s="74"/>
      <c r="L257" s="75">
        <v>0.21</v>
      </c>
      <c r="M257" s="76">
        <v>0.0</v>
      </c>
      <c r="N257" s="79" t="s">
        <v>651</v>
      </c>
      <c r="O257" s="82"/>
      <c r="P257" s="85"/>
    </row>
    <row r="258">
      <c r="A258" s="94" t="s">
        <v>598</v>
      </c>
      <c r="B258" s="96" t="s">
        <v>758</v>
      </c>
      <c r="C258" s="58" t="s">
        <v>796</v>
      </c>
      <c r="D258" s="310">
        <v>70.0</v>
      </c>
      <c r="E258" s="60">
        <v>15.0</v>
      </c>
      <c r="F258" s="98">
        <f t="shared" si="11"/>
        <v>0.3789426268</v>
      </c>
      <c r="G258" s="68">
        <f t="shared" si="2"/>
        <v>4.1221</v>
      </c>
      <c r="H258" s="68">
        <f t="shared" si="3"/>
        <v>10.8779</v>
      </c>
      <c r="I258" s="200">
        <v>8.99</v>
      </c>
      <c r="J258" s="73">
        <v>1.0</v>
      </c>
      <c r="K258" s="74"/>
      <c r="L258" s="75">
        <v>0.21</v>
      </c>
      <c r="M258" s="76">
        <v>0.0</v>
      </c>
      <c r="N258" s="79" t="s">
        <v>651</v>
      </c>
      <c r="O258" s="82"/>
      <c r="P258" s="85"/>
    </row>
    <row r="259">
      <c r="A259" s="94"/>
      <c r="B259" s="96"/>
      <c r="C259" s="159" t="s">
        <v>608</v>
      </c>
      <c r="D259" s="126">
        <v>4.0</v>
      </c>
      <c r="E259" s="60">
        <v>1.0</v>
      </c>
      <c r="F259" s="98">
        <f t="shared" si="11"/>
        <v>0.6087663979</v>
      </c>
      <c r="G259" s="68">
        <f t="shared" si="2"/>
        <v>0.3784057143</v>
      </c>
      <c r="H259" s="68">
        <f t="shared" si="3"/>
        <v>0.6215942857</v>
      </c>
      <c r="I259" s="72">
        <f t="shared" ref="I259:I260" si="46">($I$258*D259)/$D$258</f>
        <v>0.5137142857</v>
      </c>
      <c r="J259" s="73"/>
      <c r="K259" s="74"/>
      <c r="L259" s="75">
        <v>0.21</v>
      </c>
      <c r="M259" s="76">
        <v>0.0</v>
      </c>
      <c r="N259" s="79" t="s">
        <v>651</v>
      </c>
      <c r="O259" s="82"/>
      <c r="P259" s="85"/>
    </row>
    <row r="260">
      <c r="A260" s="94"/>
      <c r="B260" s="96"/>
      <c r="C260" s="159" t="s">
        <v>515</v>
      </c>
      <c r="D260" s="126">
        <v>8.0</v>
      </c>
      <c r="E260" s="60">
        <v>2.0</v>
      </c>
      <c r="F260" s="98">
        <f t="shared" si="11"/>
        <v>0.6087663979</v>
      </c>
      <c r="G260" s="68">
        <f t="shared" si="2"/>
        <v>0.7568114286</v>
      </c>
      <c r="H260" s="68">
        <f t="shared" si="3"/>
        <v>1.243188571</v>
      </c>
      <c r="I260" s="72">
        <f t="shared" si="46"/>
        <v>1.027428571</v>
      </c>
      <c r="J260" s="73"/>
      <c r="K260" s="74"/>
      <c r="L260" s="75">
        <v>0.21</v>
      </c>
      <c r="M260" s="76">
        <v>0.0</v>
      </c>
      <c r="N260" s="79" t="s">
        <v>651</v>
      </c>
      <c r="O260" s="82"/>
      <c r="P260" s="85"/>
    </row>
    <row r="261">
      <c r="A261" s="94" t="s">
        <v>598</v>
      </c>
      <c r="B261" s="96" t="s">
        <v>758</v>
      </c>
      <c r="C261" s="58" t="s">
        <v>797</v>
      </c>
      <c r="D261" s="310">
        <v>70.0</v>
      </c>
      <c r="E261" s="60">
        <v>15.0</v>
      </c>
      <c r="F261" s="98">
        <f t="shared" si="11"/>
        <v>0.2396694215</v>
      </c>
      <c r="G261" s="68">
        <f t="shared" si="2"/>
        <v>2.9</v>
      </c>
      <c r="H261" s="68">
        <f t="shared" si="3"/>
        <v>12.1</v>
      </c>
      <c r="I261" s="200">
        <v>10.0</v>
      </c>
      <c r="J261" s="73"/>
      <c r="K261" s="74"/>
      <c r="L261" s="75">
        <v>0.21</v>
      </c>
      <c r="M261" s="76">
        <v>0.0</v>
      </c>
      <c r="N261" s="79" t="s">
        <v>651</v>
      </c>
      <c r="O261" s="82"/>
      <c r="P261" s="85"/>
    </row>
    <row r="262">
      <c r="A262" s="94"/>
      <c r="B262" s="96"/>
      <c r="C262" s="159" t="s">
        <v>608</v>
      </c>
      <c r="D262" s="126">
        <v>4.0</v>
      </c>
      <c r="E262" s="60">
        <v>1.0</v>
      </c>
      <c r="F262" s="98">
        <f t="shared" si="11"/>
        <v>0.4462809917</v>
      </c>
      <c r="G262" s="68">
        <f t="shared" si="2"/>
        <v>0.3085714286</v>
      </c>
      <c r="H262" s="68">
        <f t="shared" si="3"/>
        <v>0.6914285714</v>
      </c>
      <c r="I262" s="72">
        <f t="shared" ref="I262:I264" si="47">($I$261*D262)/$D$261</f>
        <v>0.5714285714</v>
      </c>
      <c r="J262" s="73"/>
      <c r="K262" s="74"/>
      <c r="L262" s="75">
        <v>0.21</v>
      </c>
      <c r="M262" s="76">
        <v>0.0</v>
      </c>
      <c r="N262" s="79" t="s">
        <v>651</v>
      </c>
      <c r="O262" s="82"/>
      <c r="P262" s="85"/>
    </row>
    <row r="263">
      <c r="A263" s="94"/>
      <c r="B263" s="96"/>
      <c r="C263" s="159" t="s">
        <v>515</v>
      </c>
      <c r="D263" s="126">
        <v>8.0</v>
      </c>
      <c r="E263" s="60">
        <v>2.0</v>
      </c>
      <c r="F263" s="98">
        <f t="shared" si="11"/>
        <v>0.4462809917</v>
      </c>
      <c r="G263" s="68">
        <f t="shared" si="2"/>
        <v>0.6171428571</v>
      </c>
      <c r="H263" s="68">
        <f t="shared" si="3"/>
        <v>1.382857143</v>
      </c>
      <c r="I263" s="72">
        <f t="shared" si="47"/>
        <v>1.142857143</v>
      </c>
      <c r="J263" s="73"/>
      <c r="K263" s="74"/>
      <c r="L263" s="75">
        <v>0.21</v>
      </c>
      <c r="M263" s="76">
        <v>0.0</v>
      </c>
      <c r="N263" s="79" t="s">
        <v>651</v>
      </c>
      <c r="O263" s="82"/>
      <c r="P263" s="85"/>
    </row>
    <row r="264">
      <c r="A264" s="94"/>
      <c r="B264" s="96"/>
      <c r="C264" s="159" t="s">
        <v>615</v>
      </c>
      <c r="D264" s="126">
        <v>8.0</v>
      </c>
      <c r="E264" s="60">
        <v>3.5</v>
      </c>
      <c r="F264" s="98">
        <f t="shared" si="11"/>
        <v>1.530991736</v>
      </c>
      <c r="G264" s="68">
        <f t="shared" si="2"/>
        <v>2.117142857</v>
      </c>
      <c r="H264" s="68">
        <f t="shared" si="3"/>
        <v>1.382857143</v>
      </c>
      <c r="I264" s="72">
        <f t="shared" si="47"/>
        <v>1.142857143</v>
      </c>
      <c r="J264" s="73"/>
      <c r="K264" s="74"/>
      <c r="L264" s="75">
        <v>0.21</v>
      </c>
      <c r="M264" s="76">
        <v>0.0</v>
      </c>
      <c r="N264" s="79" t="s">
        <v>651</v>
      </c>
      <c r="O264" s="82"/>
      <c r="P264" s="85"/>
    </row>
    <row r="265">
      <c r="A265" s="94" t="s">
        <v>598</v>
      </c>
      <c r="B265" s="96" t="s">
        <v>798</v>
      </c>
      <c r="C265" s="58" t="s">
        <v>799</v>
      </c>
      <c r="D265" s="310">
        <v>70.0</v>
      </c>
      <c r="E265" s="60">
        <v>20.0</v>
      </c>
      <c r="F265" s="98">
        <f t="shared" si="11"/>
        <v>0.5461327355</v>
      </c>
      <c r="G265" s="68">
        <f t="shared" si="2"/>
        <v>7.0645</v>
      </c>
      <c r="H265" s="68">
        <f t="shared" si="3"/>
        <v>12.9355</v>
      </c>
      <c r="I265" s="200">
        <v>10.25</v>
      </c>
      <c r="J265" s="73"/>
      <c r="K265" s="74"/>
      <c r="L265" s="75">
        <v>0.21</v>
      </c>
      <c r="M265" s="127">
        <v>0.052</v>
      </c>
      <c r="N265" s="79" t="s">
        <v>131</v>
      </c>
      <c r="O265" s="82"/>
      <c r="P265" s="85"/>
    </row>
    <row r="266">
      <c r="A266" s="94"/>
      <c r="B266" s="96"/>
      <c r="C266" s="159" t="s">
        <v>608</v>
      </c>
      <c r="D266" s="126">
        <v>4.0</v>
      </c>
      <c r="E266" s="60">
        <v>2.5</v>
      </c>
      <c r="F266" s="98">
        <f t="shared" si="11"/>
        <v>2.382165359</v>
      </c>
      <c r="G266" s="68">
        <f t="shared" si="2"/>
        <v>1.760828571</v>
      </c>
      <c r="H266" s="68">
        <f t="shared" si="3"/>
        <v>0.7391714286</v>
      </c>
      <c r="I266" s="72">
        <f t="shared" ref="I266:I268" si="48">($I$265*D266)/$D$265</f>
        <v>0.5857142857</v>
      </c>
      <c r="J266" s="73"/>
      <c r="K266" s="74"/>
      <c r="L266" s="75">
        <v>0.21</v>
      </c>
      <c r="M266" s="127">
        <v>0.052</v>
      </c>
      <c r="N266" s="79" t="s">
        <v>131</v>
      </c>
      <c r="O266" s="82"/>
      <c r="P266" s="85"/>
    </row>
    <row r="267">
      <c r="A267" s="94"/>
      <c r="B267" s="96"/>
      <c r="C267" s="159" t="s">
        <v>515</v>
      </c>
      <c r="D267" s="126">
        <v>8.0</v>
      </c>
      <c r="E267" s="60">
        <v>5.0</v>
      </c>
      <c r="F267" s="98">
        <f t="shared" si="11"/>
        <v>2.382165359</v>
      </c>
      <c r="G267" s="68">
        <f t="shared" si="2"/>
        <v>3.521657143</v>
      </c>
      <c r="H267" s="68">
        <f t="shared" si="3"/>
        <v>1.478342857</v>
      </c>
      <c r="I267" s="72">
        <f t="shared" si="48"/>
        <v>1.171428571</v>
      </c>
      <c r="J267" s="73"/>
      <c r="K267" s="74"/>
      <c r="L267" s="75">
        <v>0.21</v>
      </c>
      <c r="M267" s="127">
        <v>0.052</v>
      </c>
      <c r="N267" s="79" t="s">
        <v>131</v>
      </c>
      <c r="O267" s="82"/>
      <c r="P267" s="85"/>
    </row>
    <row r="268">
      <c r="A268" s="94"/>
      <c r="B268" s="96"/>
      <c r="C268" s="159" t="s">
        <v>615</v>
      </c>
      <c r="D268" s="126">
        <v>8.0</v>
      </c>
      <c r="E268" s="60">
        <v>9.5</v>
      </c>
      <c r="F268" s="98">
        <f t="shared" si="11"/>
        <v>5.426114182</v>
      </c>
      <c r="G268" s="68">
        <f t="shared" si="2"/>
        <v>8.021657143</v>
      </c>
      <c r="H268" s="68">
        <f t="shared" si="3"/>
        <v>1.478342857</v>
      </c>
      <c r="I268" s="72">
        <f t="shared" si="48"/>
        <v>1.171428571</v>
      </c>
      <c r="J268" s="73"/>
      <c r="K268" s="74"/>
      <c r="L268" s="75">
        <v>0.21</v>
      </c>
      <c r="M268" s="127">
        <v>0.052</v>
      </c>
      <c r="N268" s="79" t="s">
        <v>131</v>
      </c>
      <c r="O268" s="82"/>
      <c r="P268" s="85"/>
    </row>
    <row r="269">
      <c r="A269" s="94" t="s">
        <v>598</v>
      </c>
      <c r="B269" s="96" t="s">
        <v>758</v>
      </c>
      <c r="C269" s="58" t="s">
        <v>800</v>
      </c>
      <c r="D269" s="310">
        <v>70.0</v>
      </c>
      <c r="E269" s="60">
        <v>10.0</v>
      </c>
      <c r="F269" s="98">
        <f t="shared" si="11"/>
        <v>0.652892562</v>
      </c>
      <c r="G269" s="68">
        <f t="shared" si="2"/>
        <v>3.95</v>
      </c>
      <c r="H269" s="68">
        <f t="shared" si="3"/>
        <v>6.05</v>
      </c>
      <c r="I269" s="200">
        <v>5.0</v>
      </c>
      <c r="J269" s="73"/>
      <c r="K269" s="74"/>
      <c r="L269" s="75">
        <v>0.21</v>
      </c>
      <c r="M269" s="76">
        <v>0.0</v>
      </c>
      <c r="N269" s="79" t="s">
        <v>604</v>
      </c>
      <c r="O269" s="82"/>
      <c r="P269" s="85"/>
    </row>
    <row r="270">
      <c r="A270" s="94"/>
      <c r="B270" s="96"/>
      <c r="C270" s="159" t="s">
        <v>608</v>
      </c>
      <c r="D270" s="126">
        <v>4.0</v>
      </c>
      <c r="E270" s="60">
        <v>1.0</v>
      </c>
      <c r="F270" s="98">
        <f t="shared" si="11"/>
        <v>1.892561983</v>
      </c>
      <c r="G270" s="68">
        <f t="shared" si="2"/>
        <v>0.6542857143</v>
      </c>
      <c r="H270" s="68">
        <f t="shared" si="3"/>
        <v>0.3457142857</v>
      </c>
      <c r="I270" s="72">
        <f t="shared" ref="I270:I272" si="49">($I$269*D270)/$D$269</f>
        <v>0.2857142857</v>
      </c>
      <c r="J270" s="73"/>
      <c r="K270" s="74"/>
      <c r="L270" s="75">
        <v>0.21</v>
      </c>
      <c r="M270" s="76">
        <v>0.0</v>
      </c>
      <c r="N270" s="79" t="s">
        <v>604</v>
      </c>
      <c r="O270" s="82"/>
      <c r="P270" s="85"/>
    </row>
    <row r="271">
      <c r="A271" s="94"/>
      <c r="B271" s="96"/>
      <c r="C271" s="159" t="s">
        <v>515</v>
      </c>
      <c r="D271" s="126">
        <v>8.0</v>
      </c>
      <c r="E271" s="60">
        <v>1.5</v>
      </c>
      <c r="F271" s="98">
        <f t="shared" si="11"/>
        <v>1.169421488</v>
      </c>
      <c r="G271" s="68">
        <f t="shared" si="2"/>
        <v>0.8085714286</v>
      </c>
      <c r="H271" s="68">
        <f t="shared" si="3"/>
        <v>0.6914285714</v>
      </c>
      <c r="I271" s="72">
        <f t="shared" si="49"/>
        <v>0.5714285714</v>
      </c>
      <c r="J271" s="73"/>
      <c r="K271" s="74"/>
      <c r="L271" s="75">
        <v>0.21</v>
      </c>
      <c r="M271" s="76">
        <v>0.0</v>
      </c>
      <c r="N271" s="79" t="s">
        <v>604</v>
      </c>
      <c r="O271" s="82"/>
      <c r="P271" s="85"/>
    </row>
    <row r="272">
      <c r="A272" s="94"/>
      <c r="B272" s="96"/>
      <c r="C272" s="159" t="s">
        <v>615</v>
      </c>
      <c r="D272" s="126">
        <v>8.0</v>
      </c>
      <c r="E272" s="60">
        <v>2.0</v>
      </c>
      <c r="F272" s="98">
        <f t="shared" si="11"/>
        <v>1.892561983</v>
      </c>
      <c r="G272" s="68">
        <f t="shared" si="2"/>
        <v>1.308571429</v>
      </c>
      <c r="H272" s="68">
        <f t="shared" si="3"/>
        <v>0.6914285714</v>
      </c>
      <c r="I272" s="72">
        <f t="shared" si="49"/>
        <v>0.5714285714</v>
      </c>
      <c r="J272" s="73"/>
      <c r="K272" s="74"/>
      <c r="L272" s="75">
        <v>0.21</v>
      </c>
      <c r="M272" s="76">
        <v>0.0</v>
      </c>
      <c r="N272" s="79" t="s">
        <v>604</v>
      </c>
      <c r="O272" s="82"/>
      <c r="P272" s="85"/>
    </row>
    <row r="273">
      <c r="A273" s="94" t="s">
        <v>598</v>
      </c>
      <c r="B273" s="96" t="s">
        <v>758</v>
      </c>
      <c r="C273" s="58" t="s">
        <v>801</v>
      </c>
      <c r="D273" s="310">
        <v>70.0</v>
      </c>
      <c r="E273" s="60">
        <v>12.0</v>
      </c>
      <c r="F273" s="98">
        <f t="shared" si="11"/>
        <v>0.652892562</v>
      </c>
      <c r="G273" s="68">
        <f t="shared" si="2"/>
        <v>4.74</v>
      </c>
      <c r="H273" s="68">
        <f t="shared" si="3"/>
        <v>7.26</v>
      </c>
      <c r="I273" s="200">
        <v>6.0</v>
      </c>
      <c r="J273" s="73"/>
      <c r="K273" s="74"/>
      <c r="L273" s="75">
        <v>0.21</v>
      </c>
      <c r="M273" s="76">
        <v>0.0</v>
      </c>
      <c r="N273" s="79" t="s">
        <v>604</v>
      </c>
      <c r="O273" s="82"/>
      <c r="P273" s="85"/>
    </row>
    <row r="274">
      <c r="A274" s="94"/>
      <c r="B274" s="96"/>
      <c r="C274" s="159" t="s">
        <v>608</v>
      </c>
      <c r="D274" s="126">
        <v>4.0</v>
      </c>
      <c r="E274" s="60">
        <v>1.0</v>
      </c>
      <c r="F274" s="98">
        <f t="shared" si="11"/>
        <v>1.41046832</v>
      </c>
      <c r="G274" s="68">
        <f t="shared" si="2"/>
        <v>0.5851428571</v>
      </c>
      <c r="H274" s="68">
        <f t="shared" si="3"/>
        <v>0.4148571429</v>
      </c>
      <c r="I274" s="72">
        <f t="shared" ref="I274:I276" si="50">($I$273*D274)/$D$273</f>
        <v>0.3428571429</v>
      </c>
      <c r="J274" s="73"/>
      <c r="K274" s="74"/>
      <c r="L274" s="75">
        <v>0.21</v>
      </c>
      <c r="M274" s="76">
        <v>0.0</v>
      </c>
      <c r="N274" s="79" t="s">
        <v>604</v>
      </c>
      <c r="O274" s="82"/>
      <c r="P274" s="85"/>
    </row>
    <row r="275">
      <c r="A275" s="94"/>
      <c r="B275" s="96"/>
      <c r="C275" s="159" t="s">
        <v>515</v>
      </c>
      <c r="D275" s="126">
        <v>8.0</v>
      </c>
      <c r="E275" s="60">
        <v>1.5</v>
      </c>
      <c r="F275" s="98">
        <f t="shared" si="11"/>
        <v>0.8078512397</v>
      </c>
      <c r="G275" s="68">
        <f t="shared" si="2"/>
        <v>0.6702857143</v>
      </c>
      <c r="H275" s="68">
        <f t="shared" si="3"/>
        <v>0.8297142857</v>
      </c>
      <c r="I275" s="72">
        <f t="shared" si="50"/>
        <v>0.6857142857</v>
      </c>
      <c r="J275" s="73"/>
      <c r="K275" s="74"/>
      <c r="L275" s="75">
        <v>0.21</v>
      </c>
      <c r="M275" s="76">
        <v>0.0</v>
      </c>
      <c r="N275" s="79" t="s">
        <v>604</v>
      </c>
      <c r="O275" s="82"/>
      <c r="P275" s="85"/>
    </row>
    <row r="276">
      <c r="A276" s="94"/>
      <c r="B276" s="96"/>
      <c r="C276" s="159" t="s">
        <v>615</v>
      </c>
      <c r="D276" s="126">
        <v>8.0</v>
      </c>
      <c r="E276" s="60">
        <v>2.0</v>
      </c>
      <c r="F276" s="98">
        <f t="shared" si="11"/>
        <v>1.41046832</v>
      </c>
      <c r="G276" s="68">
        <f t="shared" si="2"/>
        <v>1.170285714</v>
      </c>
      <c r="H276" s="68">
        <f t="shared" si="3"/>
        <v>0.8297142857</v>
      </c>
      <c r="I276" s="72">
        <f t="shared" si="50"/>
        <v>0.6857142857</v>
      </c>
      <c r="J276" s="73"/>
      <c r="K276" s="74"/>
      <c r="L276" s="75">
        <v>0.21</v>
      </c>
      <c r="M276" s="76">
        <v>0.0</v>
      </c>
      <c r="N276" s="79" t="s">
        <v>604</v>
      </c>
      <c r="O276" s="82"/>
      <c r="P276" s="85"/>
    </row>
    <row r="277">
      <c r="A277" s="94" t="s">
        <v>598</v>
      </c>
      <c r="B277" s="96" t="s">
        <v>758</v>
      </c>
      <c r="C277" s="58" t="s">
        <v>802</v>
      </c>
      <c r="D277" s="310">
        <v>70.0</v>
      </c>
      <c r="E277" s="60">
        <v>10.0</v>
      </c>
      <c r="F277" s="98">
        <f t="shared" si="11"/>
        <v>0.652892562</v>
      </c>
      <c r="G277" s="68">
        <f t="shared" si="2"/>
        <v>3.95</v>
      </c>
      <c r="H277" s="68">
        <f t="shared" si="3"/>
        <v>6.05</v>
      </c>
      <c r="I277" s="200">
        <v>5.0</v>
      </c>
      <c r="J277" s="73"/>
      <c r="K277" s="74"/>
      <c r="L277" s="75">
        <v>0.21</v>
      </c>
      <c r="M277" s="76">
        <v>0.0</v>
      </c>
      <c r="N277" s="79" t="s">
        <v>604</v>
      </c>
      <c r="O277" s="82"/>
      <c r="P277" s="85"/>
    </row>
    <row r="278">
      <c r="A278" s="94"/>
      <c r="B278" s="96"/>
      <c r="C278" s="159" t="s">
        <v>608</v>
      </c>
      <c r="D278" s="126">
        <v>4.0</v>
      </c>
      <c r="E278" s="60">
        <v>1.0</v>
      </c>
      <c r="F278" s="98">
        <f t="shared" si="11"/>
        <v>1.892561983</v>
      </c>
      <c r="G278" s="68">
        <f t="shared" si="2"/>
        <v>0.6542857143</v>
      </c>
      <c r="H278" s="68">
        <f t="shared" si="3"/>
        <v>0.3457142857</v>
      </c>
      <c r="I278" s="72">
        <f t="shared" ref="I278:I280" si="51">($I$277*D278)/$D$277</f>
        <v>0.2857142857</v>
      </c>
      <c r="J278" s="73"/>
      <c r="K278" s="74"/>
      <c r="L278" s="75">
        <v>0.21</v>
      </c>
      <c r="M278" s="76">
        <v>0.0</v>
      </c>
      <c r="N278" s="79" t="s">
        <v>604</v>
      </c>
      <c r="O278" s="82"/>
      <c r="P278" s="85"/>
    </row>
    <row r="279">
      <c r="A279" s="94"/>
      <c r="B279" s="96"/>
      <c r="C279" s="159" t="s">
        <v>515</v>
      </c>
      <c r="D279" s="126">
        <v>8.0</v>
      </c>
      <c r="E279" s="60">
        <v>1.5</v>
      </c>
      <c r="F279" s="98">
        <f t="shared" si="11"/>
        <v>1.169421488</v>
      </c>
      <c r="G279" s="68">
        <f t="shared" si="2"/>
        <v>0.8085714286</v>
      </c>
      <c r="H279" s="68">
        <f t="shared" si="3"/>
        <v>0.6914285714</v>
      </c>
      <c r="I279" s="72">
        <f t="shared" si="51"/>
        <v>0.5714285714</v>
      </c>
      <c r="J279" s="73"/>
      <c r="K279" s="74"/>
      <c r="L279" s="75">
        <v>0.21</v>
      </c>
      <c r="M279" s="76">
        <v>0.0</v>
      </c>
      <c r="N279" s="79" t="s">
        <v>604</v>
      </c>
      <c r="O279" s="82"/>
      <c r="P279" s="85"/>
    </row>
    <row r="280">
      <c r="A280" s="94"/>
      <c r="B280" s="96"/>
      <c r="C280" s="159" t="s">
        <v>615</v>
      </c>
      <c r="D280" s="126">
        <v>8.0</v>
      </c>
      <c r="E280" s="60">
        <v>2.0</v>
      </c>
      <c r="F280" s="98">
        <f t="shared" si="11"/>
        <v>1.892561983</v>
      </c>
      <c r="G280" s="68">
        <f t="shared" si="2"/>
        <v>1.308571429</v>
      </c>
      <c r="H280" s="68">
        <f t="shared" si="3"/>
        <v>0.6914285714</v>
      </c>
      <c r="I280" s="72">
        <f t="shared" si="51"/>
        <v>0.5714285714</v>
      </c>
      <c r="J280" s="73"/>
      <c r="K280" s="74"/>
      <c r="L280" s="75">
        <v>0.21</v>
      </c>
      <c r="M280" s="76">
        <v>0.0</v>
      </c>
      <c r="N280" s="79" t="s">
        <v>604</v>
      </c>
      <c r="O280" s="82"/>
      <c r="P280" s="85"/>
    </row>
    <row r="281">
      <c r="A281" s="94" t="s">
        <v>598</v>
      </c>
      <c r="B281" s="96" t="s">
        <v>758</v>
      </c>
      <c r="C281" s="58" t="s">
        <v>803</v>
      </c>
      <c r="D281" s="310">
        <v>70.0</v>
      </c>
      <c r="E281" s="60">
        <v>18.0</v>
      </c>
      <c r="F281" s="98">
        <f t="shared" si="11"/>
        <v>1.12514758</v>
      </c>
      <c r="G281" s="68">
        <f t="shared" si="2"/>
        <v>9.53</v>
      </c>
      <c r="H281" s="68">
        <f t="shared" si="3"/>
        <v>8.47</v>
      </c>
      <c r="I281" s="200">
        <v>7.0</v>
      </c>
      <c r="J281" s="73"/>
      <c r="K281" s="74"/>
      <c r="L281" s="75">
        <v>0.21</v>
      </c>
      <c r="M281" s="76">
        <v>0.0</v>
      </c>
      <c r="N281" s="79" t="s">
        <v>651</v>
      </c>
      <c r="O281" s="82"/>
      <c r="P281" s="85"/>
    </row>
    <row r="282">
      <c r="A282" s="94"/>
      <c r="B282" s="96"/>
      <c r="C282" s="159" t="s">
        <v>608</v>
      </c>
      <c r="D282" s="126">
        <v>4.0</v>
      </c>
      <c r="E282" s="60">
        <v>1.0</v>
      </c>
      <c r="F282" s="98">
        <f t="shared" si="11"/>
        <v>1.066115702</v>
      </c>
      <c r="G282" s="68">
        <f t="shared" si="2"/>
        <v>0.516</v>
      </c>
      <c r="H282" s="68">
        <f t="shared" si="3"/>
        <v>0.484</v>
      </c>
      <c r="I282" s="72">
        <f t="shared" ref="I282:I284" si="52">($I$281*D282)/$D$281</f>
        <v>0.4</v>
      </c>
      <c r="J282" s="73"/>
      <c r="K282" s="74"/>
      <c r="L282" s="75">
        <v>0.21</v>
      </c>
      <c r="M282" s="76">
        <v>0.0</v>
      </c>
      <c r="N282" s="79" t="s">
        <v>651</v>
      </c>
      <c r="O282" s="82"/>
      <c r="P282" s="85" t="s">
        <v>804</v>
      </c>
    </row>
    <row r="283">
      <c r="A283" s="94"/>
      <c r="B283" s="96"/>
      <c r="C283" s="159" t="s">
        <v>515</v>
      </c>
      <c r="D283" s="126">
        <v>8.0</v>
      </c>
      <c r="E283" s="60">
        <v>1.5</v>
      </c>
      <c r="F283" s="98">
        <f t="shared" si="11"/>
        <v>0.5495867769</v>
      </c>
      <c r="G283" s="68">
        <f t="shared" si="2"/>
        <v>0.532</v>
      </c>
      <c r="H283" s="68">
        <f t="shared" si="3"/>
        <v>0.968</v>
      </c>
      <c r="I283" s="72">
        <f t="shared" si="52"/>
        <v>0.8</v>
      </c>
      <c r="J283" s="73"/>
      <c r="K283" s="74"/>
      <c r="L283" s="75">
        <v>0.21</v>
      </c>
      <c r="M283" s="76">
        <v>0.0</v>
      </c>
      <c r="N283" s="79" t="s">
        <v>651</v>
      </c>
      <c r="O283" s="82"/>
      <c r="P283" s="85"/>
    </row>
    <row r="284">
      <c r="A284" s="94"/>
      <c r="B284" s="96"/>
      <c r="C284" s="159" t="s">
        <v>615</v>
      </c>
      <c r="D284" s="126">
        <v>8.0</v>
      </c>
      <c r="E284" s="60">
        <v>2.5</v>
      </c>
      <c r="F284" s="98">
        <f t="shared" si="11"/>
        <v>1.582644628</v>
      </c>
      <c r="G284" s="68">
        <f t="shared" si="2"/>
        <v>1.532</v>
      </c>
      <c r="H284" s="68">
        <f t="shared" si="3"/>
        <v>0.968</v>
      </c>
      <c r="I284" s="72">
        <f t="shared" si="52"/>
        <v>0.8</v>
      </c>
      <c r="J284" s="73"/>
      <c r="K284" s="74"/>
      <c r="L284" s="75">
        <v>0.21</v>
      </c>
      <c r="M284" s="76">
        <v>0.0</v>
      </c>
      <c r="N284" s="79" t="s">
        <v>651</v>
      </c>
      <c r="O284" s="82"/>
      <c r="P284" s="85"/>
    </row>
    <row r="285">
      <c r="A285" s="160" t="s">
        <v>598</v>
      </c>
      <c r="B285" s="161" t="s">
        <v>758</v>
      </c>
      <c r="C285" s="202" t="s">
        <v>805</v>
      </c>
      <c r="D285" s="320">
        <v>500.0</v>
      </c>
      <c r="E285" s="234">
        <v>18.0</v>
      </c>
      <c r="F285" s="165">
        <f t="shared" si="11"/>
        <v>0.2511468846</v>
      </c>
      <c r="G285" s="166">
        <f t="shared" si="2"/>
        <v>3.6132</v>
      </c>
      <c r="H285" s="166">
        <f t="shared" si="3"/>
        <v>14.3868</v>
      </c>
      <c r="I285" s="321">
        <v>11.4</v>
      </c>
      <c r="J285" s="322">
        <v>1.0</v>
      </c>
      <c r="K285" s="169"/>
      <c r="L285" s="170">
        <v>0.21</v>
      </c>
      <c r="M285" s="238">
        <v>0.052</v>
      </c>
      <c r="N285" s="206" t="s">
        <v>147</v>
      </c>
      <c r="O285" s="82"/>
      <c r="P285" s="190"/>
    </row>
    <row r="286">
      <c r="A286" s="307"/>
      <c r="B286" s="308"/>
      <c r="C286" s="263" t="s">
        <v>608</v>
      </c>
      <c r="D286" s="265">
        <v>4.0</v>
      </c>
      <c r="E286" s="267">
        <v>1.0</v>
      </c>
      <c r="F286" s="270">
        <f t="shared" si="11"/>
        <v>7.688520032</v>
      </c>
      <c r="G286" s="272">
        <f t="shared" si="2"/>
        <v>0.8849056</v>
      </c>
      <c r="H286" s="272">
        <f t="shared" si="3"/>
        <v>0.1150944</v>
      </c>
      <c r="I286" s="276">
        <f t="shared" ref="I286:I287" si="53">($I$285*D286)/$D$285</f>
        <v>0.0912</v>
      </c>
      <c r="J286" s="278"/>
      <c r="K286" s="279"/>
      <c r="L286" s="281">
        <v>0.21</v>
      </c>
      <c r="M286" s="283">
        <v>0.052</v>
      </c>
      <c r="N286" s="323" t="s">
        <v>147</v>
      </c>
      <c r="O286" s="90"/>
      <c r="P286" s="288"/>
    </row>
    <row r="287">
      <c r="A287" s="307"/>
      <c r="B287" s="308"/>
      <c r="C287" s="263" t="s">
        <v>515</v>
      </c>
      <c r="D287" s="324">
        <v>8.0</v>
      </c>
      <c r="E287" s="267">
        <v>1.5</v>
      </c>
      <c r="F287" s="270">
        <f t="shared" si="11"/>
        <v>5.516390024</v>
      </c>
      <c r="G287" s="272">
        <f t="shared" si="2"/>
        <v>1.2698112</v>
      </c>
      <c r="H287" s="272">
        <f t="shared" si="3"/>
        <v>0.2301888</v>
      </c>
      <c r="I287" s="276">
        <f t="shared" si="53"/>
        <v>0.1824</v>
      </c>
      <c r="J287" s="278"/>
      <c r="K287" s="279"/>
      <c r="L287" s="281">
        <v>0.21</v>
      </c>
      <c r="M287" s="283">
        <v>0.052</v>
      </c>
      <c r="N287" s="323" t="s">
        <v>147</v>
      </c>
      <c r="O287" s="90"/>
      <c r="P287" s="288"/>
    </row>
    <row r="288">
      <c r="A288" s="94" t="s">
        <v>598</v>
      </c>
      <c r="B288" s="96" t="s">
        <v>758</v>
      </c>
      <c r="C288" s="58" t="s">
        <v>806</v>
      </c>
      <c r="D288" s="310">
        <v>100.0</v>
      </c>
      <c r="E288" s="60">
        <v>10.0</v>
      </c>
      <c r="F288" s="98">
        <f t="shared" si="11"/>
        <v>1.556106539</v>
      </c>
      <c r="G288" s="68">
        <f t="shared" si="2"/>
        <v>6.0878</v>
      </c>
      <c r="H288" s="68">
        <f t="shared" si="3"/>
        <v>3.9122</v>
      </c>
      <c r="I288" s="200">
        <v>3.1</v>
      </c>
      <c r="J288" s="73">
        <v>1.0</v>
      </c>
      <c r="K288" s="74"/>
      <c r="L288" s="75">
        <v>0.21</v>
      </c>
      <c r="M288" s="127">
        <v>0.052</v>
      </c>
      <c r="N288" s="79" t="s">
        <v>131</v>
      </c>
      <c r="O288" s="82"/>
      <c r="P288" s="85"/>
    </row>
    <row r="289">
      <c r="A289" s="94"/>
      <c r="B289" s="96"/>
      <c r="C289" s="159" t="s">
        <v>608</v>
      </c>
      <c r="D289" s="126">
        <v>4.0</v>
      </c>
      <c r="E289" s="60">
        <v>1.0</v>
      </c>
      <c r="F289" s="98">
        <f t="shared" si="11"/>
        <v>5.390266346</v>
      </c>
      <c r="G289" s="68">
        <f t="shared" si="2"/>
        <v>0.843512</v>
      </c>
      <c r="H289" s="68">
        <f t="shared" si="3"/>
        <v>0.156488</v>
      </c>
      <c r="I289" s="72">
        <f t="shared" ref="I289:I291" si="54">($I$288*D289)/$D$288</f>
        <v>0.124</v>
      </c>
      <c r="J289" s="73"/>
      <c r="K289" s="74"/>
      <c r="L289" s="75">
        <v>0.21</v>
      </c>
      <c r="M289" s="127">
        <v>0.052</v>
      </c>
      <c r="N289" s="79" t="s">
        <v>131</v>
      </c>
      <c r="O289" s="82"/>
      <c r="P289" s="85"/>
    </row>
    <row r="290">
      <c r="A290" s="94"/>
      <c r="B290" s="96"/>
      <c r="C290" s="159" t="s">
        <v>515</v>
      </c>
      <c r="D290" s="126">
        <v>8.0</v>
      </c>
      <c r="E290" s="60">
        <v>1.5</v>
      </c>
      <c r="F290" s="98">
        <f t="shared" si="11"/>
        <v>3.79269976</v>
      </c>
      <c r="G290" s="68">
        <f t="shared" si="2"/>
        <v>1.187024</v>
      </c>
      <c r="H290" s="68">
        <f t="shared" si="3"/>
        <v>0.312976</v>
      </c>
      <c r="I290" s="72">
        <f t="shared" si="54"/>
        <v>0.248</v>
      </c>
      <c r="J290" s="73"/>
      <c r="K290" s="74"/>
      <c r="L290" s="75">
        <v>0.21</v>
      </c>
      <c r="M290" s="127">
        <v>0.052</v>
      </c>
      <c r="N290" s="79" t="s">
        <v>131</v>
      </c>
      <c r="O290" s="82"/>
      <c r="P290" s="85"/>
    </row>
    <row r="291">
      <c r="A291" s="94"/>
      <c r="B291" s="96"/>
      <c r="C291" s="159" t="s">
        <v>615</v>
      </c>
      <c r="D291" s="126">
        <v>8.0</v>
      </c>
      <c r="E291" s="60">
        <v>2.0</v>
      </c>
      <c r="F291" s="98">
        <f t="shared" si="11"/>
        <v>5.390266346</v>
      </c>
      <c r="G291" s="68">
        <f t="shared" si="2"/>
        <v>1.687024</v>
      </c>
      <c r="H291" s="68">
        <f t="shared" si="3"/>
        <v>0.312976</v>
      </c>
      <c r="I291" s="72">
        <f t="shared" si="54"/>
        <v>0.248</v>
      </c>
      <c r="J291" s="73"/>
      <c r="K291" s="74"/>
      <c r="L291" s="75">
        <v>0.21</v>
      </c>
      <c r="M291" s="127">
        <v>0.052</v>
      </c>
      <c r="N291" s="79" t="s">
        <v>131</v>
      </c>
      <c r="O291" s="82"/>
      <c r="P291" s="85"/>
    </row>
    <row r="292">
      <c r="A292" s="94" t="s">
        <v>598</v>
      </c>
      <c r="B292" s="96" t="s">
        <v>758</v>
      </c>
      <c r="C292" s="58" t="s">
        <v>807</v>
      </c>
      <c r="D292" s="310">
        <v>100.0</v>
      </c>
      <c r="E292" s="60">
        <v>12.0</v>
      </c>
      <c r="F292" s="98">
        <f t="shared" si="11"/>
        <v>0.652892562</v>
      </c>
      <c r="G292" s="68">
        <f t="shared" si="2"/>
        <v>4.74</v>
      </c>
      <c r="H292" s="68">
        <f t="shared" si="3"/>
        <v>7.26</v>
      </c>
      <c r="I292" s="200">
        <v>6.0</v>
      </c>
      <c r="J292" s="73"/>
      <c r="K292" s="74"/>
      <c r="L292" s="75">
        <v>0.21</v>
      </c>
      <c r="M292" s="76">
        <v>0.0</v>
      </c>
      <c r="N292" s="79" t="s">
        <v>604</v>
      </c>
      <c r="O292" s="82"/>
      <c r="P292" s="85"/>
    </row>
    <row r="293">
      <c r="A293" s="94"/>
      <c r="B293" s="96"/>
      <c r="C293" s="159" t="s">
        <v>608</v>
      </c>
      <c r="D293" s="126">
        <v>4.0</v>
      </c>
      <c r="E293" s="60">
        <v>1.0</v>
      </c>
      <c r="F293" s="98">
        <f t="shared" si="11"/>
        <v>2.443526171</v>
      </c>
      <c r="G293" s="68">
        <f t="shared" si="2"/>
        <v>0.7096</v>
      </c>
      <c r="H293" s="68">
        <f t="shared" si="3"/>
        <v>0.2904</v>
      </c>
      <c r="I293" s="72">
        <f t="shared" ref="I293:I295" si="55">($I$292*D293)/$D$292</f>
        <v>0.24</v>
      </c>
      <c r="J293" s="73"/>
      <c r="K293" s="74"/>
      <c r="L293" s="75">
        <v>0.21</v>
      </c>
      <c r="M293" s="76">
        <v>0.0</v>
      </c>
      <c r="N293" s="79" t="s">
        <v>604</v>
      </c>
      <c r="O293" s="82"/>
      <c r="P293" s="85"/>
    </row>
    <row r="294">
      <c r="A294" s="94"/>
      <c r="B294" s="96"/>
      <c r="C294" s="159" t="s">
        <v>515</v>
      </c>
      <c r="D294" s="126">
        <v>8.0</v>
      </c>
      <c r="E294" s="60">
        <v>1.5</v>
      </c>
      <c r="F294" s="98">
        <f t="shared" si="11"/>
        <v>1.582644628</v>
      </c>
      <c r="G294" s="68">
        <f t="shared" si="2"/>
        <v>0.9192</v>
      </c>
      <c r="H294" s="68">
        <f t="shared" si="3"/>
        <v>0.5808</v>
      </c>
      <c r="I294" s="72">
        <f t="shared" si="55"/>
        <v>0.48</v>
      </c>
      <c r="J294" s="73"/>
      <c r="K294" s="74"/>
      <c r="L294" s="75">
        <v>0.21</v>
      </c>
      <c r="M294" s="76">
        <v>0.0</v>
      </c>
      <c r="N294" s="79" t="s">
        <v>604</v>
      </c>
      <c r="O294" s="82"/>
      <c r="P294" s="85"/>
    </row>
    <row r="295">
      <c r="A295" s="94"/>
      <c r="B295" s="96"/>
      <c r="C295" s="159" t="s">
        <v>615</v>
      </c>
      <c r="D295" s="126">
        <v>8.0</v>
      </c>
      <c r="E295" s="60">
        <v>2.0</v>
      </c>
      <c r="F295" s="98">
        <f t="shared" si="11"/>
        <v>2.443526171</v>
      </c>
      <c r="G295" s="68">
        <f t="shared" si="2"/>
        <v>1.4192</v>
      </c>
      <c r="H295" s="68">
        <f t="shared" si="3"/>
        <v>0.5808</v>
      </c>
      <c r="I295" s="72">
        <f t="shared" si="55"/>
        <v>0.48</v>
      </c>
      <c r="J295" s="73"/>
      <c r="K295" s="74"/>
      <c r="L295" s="75">
        <v>0.21</v>
      </c>
      <c r="M295" s="76">
        <v>0.0</v>
      </c>
      <c r="N295" s="79" t="s">
        <v>604</v>
      </c>
      <c r="O295" s="82"/>
      <c r="P295" s="85"/>
    </row>
    <row r="296">
      <c r="A296" s="94" t="s">
        <v>598</v>
      </c>
      <c r="B296" s="96" t="s">
        <v>758</v>
      </c>
      <c r="C296" s="58" t="s">
        <v>808</v>
      </c>
      <c r="D296" s="310">
        <v>100.0</v>
      </c>
      <c r="E296" s="60">
        <v>15.0</v>
      </c>
      <c r="F296" s="98">
        <f t="shared" si="11"/>
        <v>0.258547636</v>
      </c>
      <c r="G296" s="68">
        <f t="shared" si="2"/>
        <v>3.0815</v>
      </c>
      <c r="H296" s="68">
        <f t="shared" si="3"/>
        <v>11.9185</v>
      </c>
      <c r="I296" s="200">
        <v>9.85</v>
      </c>
      <c r="J296" s="73"/>
      <c r="K296" s="74"/>
      <c r="L296" s="75">
        <v>0.21</v>
      </c>
      <c r="M296" s="76">
        <v>0.0</v>
      </c>
      <c r="N296" s="79" t="s">
        <v>604</v>
      </c>
      <c r="O296" s="82"/>
      <c r="P296" s="85"/>
    </row>
    <row r="297">
      <c r="A297" s="94"/>
      <c r="B297" s="96"/>
      <c r="C297" s="159" t="s">
        <v>608</v>
      </c>
      <c r="D297" s="126">
        <v>4.0</v>
      </c>
      <c r="E297" s="60">
        <v>1.0</v>
      </c>
      <c r="F297" s="98">
        <f t="shared" si="11"/>
        <v>1.097579393</v>
      </c>
      <c r="G297" s="68">
        <f t="shared" si="2"/>
        <v>0.52326</v>
      </c>
      <c r="H297" s="68">
        <f t="shared" si="3"/>
        <v>0.47674</v>
      </c>
      <c r="I297" s="72">
        <f t="shared" ref="I297:I299" si="56">($I$296*D297)/$D$296</f>
        <v>0.394</v>
      </c>
      <c r="J297" s="73"/>
      <c r="K297" s="74"/>
      <c r="L297" s="75">
        <v>0.21</v>
      </c>
      <c r="M297" s="76">
        <v>0.0</v>
      </c>
      <c r="N297" s="79" t="s">
        <v>604</v>
      </c>
      <c r="O297" s="82"/>
      <c r="P297" s="85"/>
    </row>
    <row r="298">
      <c r="A298" s="94"/>
      <c r="B298" s="96"/>
      <c r="C298" s="159" t="s">
        <v>515</v>
      </c>
      <c r="D298" s="126">
        <v>8.0</v>
      </c>
      <c r="E298" s="60">
        <v>1.5</v>
      </c>
      <c r="F298" s="98">
        <f t="shared" si="11"/>
        <v>0.573184545</v>
      </c>
      <c r="G298" s="68">
        <f t="shared" si="2"/>
        <v>0.54652</v>
      </c>
      <c r="H298" s="68">
        <f t="shared" si="3"/>
        <v>0.95348</v>
      </c>
      <c r="I298" s="72">
        <f t="shared" si="56"/>
        <v>0.788</v>
      </c>
      <c r="J298" s="73"/>
      <c r="K298" s="74"/>
      <c r="L298" s="75">
        <v>0.21</v>
      </c>
      <c r="M298" s="76">
        <v>0.0</v>
      </c>
      <c r="N298" s="79" t="s">
        <v>604</v>
      </c>
      <c r="O298" s="82"/>
      <c r="P298" s="85"/>
    </row>
    <row r="299">
      <c r="A299" s="94"/>
      <c r="B299" s="96"/>
      <c r="C299" s="159" t="s">
        <v>615</v>
      </c>
      <c r="D299" s="126">
        <v>8.0</v>
      </c>
      <c r="E299" s="60">
        <v>2.0</v>
      </c>
      <c r="F299" s="98">
        <f t="shared" si="11"/>
        <v>1.097579393</v>
      </c>
      <c r="G299" s="68">
        <f t="shared" si="2"/>
        <v>1.04652</v>
      </c>
      <c r="H299" s="68">
        <f t="shared" si="3"/>
        <v>0.95348</v>
      </c>
      <c r="I299" s="72">
        <f t="shared" si="56"/>
        <v>0.788</v>
      </c>
      <c r="J299" s="73"/>
      <c r="K299" s="74"/>
      <c r="L299" s="75">
        <v>0.21</v>
      </c>
      <c r="M299" s="76">
        <v>0.0</v>
      </c>
      <c r="N299" s="79" t="s">
        <v>604</v>
      </c>
      <c r="O299" s="82"/>
      <c r="P299" s="85"/>
    </row>
    <row r="300">
      <c r="A300" s="94" t="s">
        <v>598</v>
      </c>
      <c r="B300" s="96" t="s">
        <v>758</v>
      </c>
      <c r="C300" s="58" t="s">
        <v>809</v>
      </c>
      <c r="D300" s="310">
        <v>70.0</v>
      </c>
      <c r="E300" s="60">
        <v>20.0</v>
      </c>
      <c r="F300" s="98">
        <f t="shared" si="11"/>
        <v>0.5318744782</v>
      </c>
      <c r="G300" s="68">
        <f t="shared" si="2"/>
        <v>6.9441</v>
      </c>
      <c r="H300" s="68">
        <f t="shared" si="3"/>
        <v>13.0559</v>
      </c>
      <c r="I300" s="200">
        <v>10.79</v>
      </c>
      <c r="J300" s="73">
        <v>1.0</v>
      </c>
      <c r="K300" s="74"/>
      <c r="L300" s="75">
        <v>0.21</v>
      </c>
      <c r="M300" s="76">
        <v>0.0</v>
      </c>
      <c r="N300" s="79" t="s">
        <v>651</v>
      </c>
      <c r="O300" s="82"/>
      <c r="P300" s="85"/>
    </row>
    <row r="301">
      <c r="A301" s="94"/>
      <c r="B301" s="96"/>
      <c r="C301" s="159" t="s">
        <v>608</v>
      </c>
      <c r="D301" s="126">
        <v>4.0</v>
      </c>
      <c r="E301" s="60">
        <v>1.0</v>
      </c>
      <c r="F301" s="98">
        <f t="shared" si="11"/>
        <v>0.3403901684</v>
      </c>
      <c r="G301" s="68">
        <f t="shared" si="2"/>
        <v>0.2539485714</v>
      </c>
      <c r="H301" s="68">
        <f t="shared" si="3"/>
        <v>0.7460514286</v>
      </c>
      <c r="I301" s="72">
        <f t="shared" ref="I301:I303" si="57">($I$300*D301)/$D$300</f>
        <v>0.6165714286</v>
      </c>
      <c r="J301" s="73"/>
      <c r="K301" s="74"/>
      <c r="L301" s="75">
        <v>0.21</v>
      </c>
      <c r="M301" s="76">
        <v>0.0</v>
      </c>
      <c r="N301" s="79" t="s">
        <v>651</v>
      </c>
      <c r="O301" s="82"/>
      <c r="P301" s="85"/>
    </row>
    <row r="302">
      <c r="A302" s="94"/>
      <c r="B302" s="96"/>
      <c r="C302" s="159" t="s">
        <v>515</v>
      </c>
      <c r="D302" s="126">
        <v>8.0</v>
      </c>
      <c r="E302" s="60">
        <v>1.5</v>
      </c>
      <c r="F302" s="98">
        <f t="shared" si="11"/>
        <v>0.005292626322</v>
      </c>
      <c r="G302" s="68">
        <f t="shared" si="2"/>
        <v>0.007897142857</v>
      </c>
      <c r="H302" s="68">
        <f t="shared" si="3"/>
        <v>1.492102857</v>
      </c>
      <c r="I302" s="72">
        <f t="shared" si="57"/>
        <v>1.233142857</v>
      </c>
      <c r="J302" s="73"/>
      <c r="K302" s="74"/>
      <c r="L302" s="75">
        <v>0.21</v>
      </c>
      <c r="M302" s="76">
        <v>0.0</v>
      </c>
      <c r="N302" s="79" t="s">
        <v>651</v>
      </c>
      <c r="O302" s="82"/>
      <c r="P302" s="85"/>
    </row>
    <row r="303">
      <c r="A303" s="94"/>
      <c r="B303" s="96"/>
      <c r="C303" s="159" t="s">
        <v>615</v>
      </c>
      <c r="D303" s="126">
        <v>8.0</v>
      </c>
      <c r="E303" s="60">
        <v>2.5</v>
      </c>
      <c r="F303" s="98">
        <f t="shared" si="11"/>
        <v>0.6754877105</v>
      </c>
      <c r="G303" s="68">
        <f t="shared" si="2"/>
        <v>1.007897143</v>
      </c>
      <c r="H303" s="68">
        <f t="shared" si="3"/>
        <v>1.492102857</v>
      </c>
      <c r="I303" s="72">
        <f t="shared" si="57"/>
        <v>1.233142857</v>
      </c>
      <c r="J303" s="73"/>
      <c r="K303" s="74"/>
      <c r="L303" s="75">
        <v>0.21</v>
      </c>
      <c r="M303" s="76">
        <v>0.0</v>
      </c>
      <c r="N303" s="79" t="s">
        <v>651</v>
      </c>
      <c r="O303" s="82"/>
      <c r="P303" s="85"/>
    </row>
    <row r="304">
      <c r="A304" s="94" t="s">
        <v>598</v>
      </c>
      <c r="B304" s="96" t="s">
        <v>810</v>
      </c>
      <c r="C304" s="58" t="s">
        <v>811</v>
      </c>
      <c r="D304" s="310">
        <v>100.0</v>
      </c>
      <c r="E304" s="60">
        <v>14.0</v>
      </c>
      <c r="F304" s="98">
        <f t="shared" si="11"/>
        <v>0.652892562</v>
      </c>
      <c r="G304" s="68">
        <f t="shared" si="2"/>
        <v>5.53</v>
      </c>
      <c r="H304" s="68">
        <f t="shared" si="3"/>
        <v>8.47</v>
      </c>
      <c r="I304" s="200">
        <v>7.0</v>
      </c>
      <c r="J304" s="73"/>
      <c r="K304" s="74"/>
      <c r="L304" s="75">
        <v>0.21</v>
      </c>
      <c r="M304" s="76">
        <v>0.0</v>
      </c>
      <c r="N304" s="79" t="s">
        <v>651</v>
      </c>
      <c r="O304" s="82"/>
      <c r="P304" s="85"/>
    </row>
    <row r="305">
      <c r="A305" s="94"/>
      <c r="B305" s="96"/>
      <c r="C305" s="159" t="s">
        <v>608</v>
      </c>
      <c r="D305" s="126">
        <v>4.0</v>
      </c>
      <c r="E305" s="60">
        <v>1.0</v>
      </c>
      <c r="F305" s="98">
        <f t="shared" si="11"/>
        <v>1.951593861</v>
      </c>
      <c r="G305" s="68">
        <f t="shared" si="2"/>
        <v>0.6612</v>
      </c>
      <c r="H305" s="68">
        <f t="shared" si="3"/>
        <v>0.3388</v>
      </c>
      <c r="I305" s="72">
        <f t="shared" ref="I305:I307" si="58">($I$304*D305)/$D$304</f>
        <v>0.28</v>
      </c>
      <c r="J305" s="73"/>
      <c r="K305" s="74"/>
      <c r="L305" s="75">
        <v>0.21</v>
      </c>
      <c r="M305" s="76">
        <v>0.0</v>
      </c>
      <c r="N305" s="79" t="s">
        <v>651</v>
      </c>
      <c r="O305" s="82"/>
      <c r="P305" s="85"/>
    </row>
    <row r="306">
      <c r="A306" s="94"/>
      <c r="B306" s="96"/>
      <c r="C306" s="159" t="s">
        <v>515</v>
      </c>
      <c r="D306" s="126">
        <v>8.0</v>
      </c>
      <c r="E306" s="60">
        <v>1.5</v>
      </c>
      <c r="F306" s="98">
        <f t="shared" si="11"/>
        <v>1.213695396</v>
      </c>
      <c r="G306" s="68">
        <f t="shared" si="2"/>
        <v>0.8224</v>
      </c>
      <c r="H306" s="68">
        <f t="shared" si="3"/>
        <v>0.6776</v>
      </c>
      <c r="I306" s="72">
        <f t="shared" si="58"/>
        <v>0.56</v>
      </c>
      <c r="J306" s="73"/>
      <c r="K306" s="74"/>
      <c r="L306" s="75">
        <v>0.21</v>
      </c>
      <c r="M306" s="76">
        <v>0.0</v>
      </c>
      <c r="N306" s="79" t="s">
        <v>651</v>
      </c>
      <c r="O306" s="82"/>
      <c r="P306" s="85"/>
    </row>
    <row r="307">
      <c r="A307" s="94"/>
      <c r="B307" s="96"/>
      <c r="C307" s="159" t="s">
        <v>615</v>
      </c>
      <c r="D307" s="126">
        <v>8.0</v>
      </c>
      <c r="E307" s="60">
        <v>2.5</v>
      </c>
      <c r="F307" s="98">
        <f t="shared" si="11"/>
        <v>2.689492326</v>
      </c>
      <c r="G307" s="68">
        <f t="shared" si="2"/>
        <v>1.8224</v>
      </c>
      <c r="H307" s="68">
        <f t="shared" si="3"/>
        <v>0.6776</v>
      </c>
      <c r="I307" s="72">
        <f t="shared" si="58"/>
        <v>0.56</v>
      </c>
      <c r="J307" s="73"/>
      <c r="K307" s="74"/>
      <c r="L307" s="75">
        <v>0.21</v>
      </c>
      <c r="M307" s="76">
        <v>0.0</v>
      </c>
      <c r="N307" s="79" t="s">
        <v>448</v>
      </c>
      <c r="O307" s="82"/>
      <c r="P307" s="85"/>
    </row>
    <row r="308">
      <c r="A308" s="160" t="s">
        <v>598</v>
      </c>
      <c r="B308" s="161" t="s">
        <v>810</v>
      </c>
      <c r="C308" s="202" t="s">
        <v>812</v>
      </c>
      <c r="D308" s="320">
        <v>70.0</v>
      </c>
      <c r="E308" s="164">
        <v>18.0</v>
      </c>
      <c r="F308" s="165">
        <f t="shared" si="11"/>
        <v>0.3532328733</v>
      </c>
      <c r="G308" s="166">
        <f t="shared" si="2"/>
        <v>4.69852</v>
      </c>
      <c r="H308" s="166">
        <f t="shared" si="3"/>
        <v>13.30148</v>
      </c>
      <c r="I308" s="321">
        <v>10.54</v>
      </c>
      <c r="J308" s="322">
        <v>1.0</v>
      </c>
      <c r="K308" s="169"/>
      <c r="L308" s="170">
        <v>0.21</v>
      </c>
      <c r="M308" s="238">
        <v>0.052</v>
      </c>
      <c r="N308" s="318" t="s">
        <v>448</v>
      </c>
      <c r="O308" s="82"/>
      <c r="P308" s="190"/>
    </row>
    <row r="309">
      <c r="A309" s="307"/>
      <c r="B309" s="308"/>
      <c r="C309" s="263" t="s">
        <v>608</v>
      </c>
      <c r="D309" s="265">
        <v>4.0</v>
      </c>
      <c r="E309" s="267">
        <v>1.0</v>
      </c>
      <c r="F309" s="270">
        <f t="shared" si="11"/>
        <v>0.3156430713</v>
      </c>
      <c r="G309" s="272">
        <f t="shared" si="2"/>
        <v>0.2399154286</v>
      </c>
      <c r="H309" s="272">
        <f t="shared" si="3"/>
        <v>0.7600845714</v>
      </c>
      <c r="I309" s="276">
        <f t="shared" ref="I309:I311" si="59">($I$308*D309)/$D$308</f>
        <v>0.6022857143</v>
      </c>
      <c r="J309" s="278"/>
      <c r="K309" s="279"/>
      <c r="L309" s="281">
        <v>0.21</v>
      </c>
      <c r="M309" s="283">
        <v>0.052</v>
      </c>
      <c r="N309" s="286" t="s">
        <v>448</v>
      </c>
      <c r="O309" s="90"/>
      <c r="P309" s="288"/>
    </row>
    <row r="310">
      <c r="A310" s="307"/>
      <c r="B310" s="308"/>
      <c r="C310" s="263" t="s">
        <v>515</v>
      </c>
      <c r="D310" s="265">
        <v>8.0</v>
      </c>
      <c r="E310" s="267">
        <v>2.0</v>
      </c>
      <c r="F310" s="270">
        <f t="shared" si="11"/>
        <v>0.3156430713</v>
      </c>
      <c r="G310" s="272">
        <f t="shared" si="2"/>
        <v>0.4798308571</v>
      </c>
      <c r="H310" s="272">
        <f t="shared" si="3"/>
        <v>1.520169143</v>
      </c>
      <c r="I310" s="276">
        <f t="shared" si="59"/>
        <v>1.204571429</v>
      </c>
      <c r="J310" s="278"/>
      <c r="K310" s="279"/>
      <c r="L310" s="281">
        <v>0.21</v>
      </c>
      <c r="M310" s="283">
        <v>0.052</v>
      </c>
      <c r="N310" s="286" t="s">
        <v>448</v>
      </c>
      <c r="O310" s="90"/>
      <c r="P310" s="288"/>
    </row>
    <row r="311">
      <c r="A311" s="307"/>
      <c r="B311" s="308"/>
      <c r="C311" s="263" t="s">
        <v>615</v>
      </c>
      <c r="D311" s="265">
        <v>8.0</v>
      </c>
      <c r="E311" s="267">
        <v>3.5</v>
      </c>
      <c r="F311" s="270">
        <f t="shared" si="11"/>
        <v>1.302375375</v>
      </c>
      <c r="G311" s="272">
        <f t="shared" si="2"/>
        <v>1.979830857</v>
      </c>
      <c r="H311" s="272">
        <f t="shared" si="3"/>
        <v>1.520169143</v>
      </c>
      <c r="I311" s="276">
        <f t="shared" si="59"/>
        <v>1.204571429</v>
      </c>
      <c r="J311" s="278"/>
      <c r="K311" s="279"/>
      <c r="L311" s="281">
        <v>0.21</v>
      </c>
      <c r="M311" s="283">
        <v>0.052</v>
      </c>
      <c r="N311" s="286" t="s">
        <v>448</v>
      </c>
      <c r="O311" s="90"/>
      <c r="P311" s="288"/>
    </row>
    <row r="312">
      <c r="A312" s="94" t="s">
        <v>598</v>
      </c>
      <c r="B312" s="96" t="s">
        <v>810</v>
      </c>
      <c r="C312" s="58" t="s">
        <v>812</v>
      </c>
      <c r="D312" s="310">
        <v>100.0</v>
      </c>
      <c r="E312" s="60">
        <v>20.0</v>
      </c>
      <c r="F312" s="98">
        <f t="shared" si="11"/>
        <v>0.1199901441</v>
      </c>
      <c r="G312" s="68">
        <f t="shared" si="2"/>
        <v>2.1427</v>
      </c>
      <c r="H312" s="68">
        <f t="shared" si="3"/>
        <v>17.8573</v>
      </c>
      <c r="I312" s="200">
        <v>14.15</v>
      </c>
      <c r="J312" s="73"/>
      <c r="K312" s="74"/>
      <c r="L312" s="75">
        <v>0.21</v>
      </c>
      <c r="M312" s="127">
        <v>0.052</v>
      </c>
      <c r="N312" s="79" t="s">
        <v>448</v>
      </c>
      <c r="O312" s="82"/>
      <c r="P312" s="85" t="s">
        <v>813</v>
      </c>
    </row>
    <row r="313">
      <c r="A313" s="94"/>
      <c r="B313" s="96"/>
      <c r="C313" s="159" t="s">
        <v>608</v>
      </c>
      <c r="D313" s="126">
        <v>4.0</v>
      </c>
      <c r="E313" s="60">
        <v>1.0</v>
      </c>
      <c r="F313" s="98">
        <f t="shared" si="11"/>
        <v>0.3999876801</v>
      </c>
      <c r="G313" s="68">
        <f t="shared" si="2"/>
        <v>0.285708</v>
      </c>
      <c r="H313" s="68">
        <f t="shared" si="3"/>
        <v>0.714292</v>
      </c>
      <c r="I313" s="72">
        <f t="shared" ref="I313:I315" si="60">($I$312*D313)/$D$312</f>
        <v>0.566</v>
      </c>
      <c r="J313" s="73"/>
      <c r="K313" s="74"/>
      <c r="L313" s="75">
        <v>0.21</v>
      </c>
      <c r="M313" s="127">
        <v>0.052</v>
      </c>
      <c r="N313" s="79" t="s">
        <v>448</v>
      </c>
      <c r="O313" s="82"/>
      <c r="P313" s="85"/>
    </row>
    <row r="314">
      <c r="A314" s="94"/>
      <c r="B314" s="96"/>
      <c r="C314" s="159" t="s">
        <v>515</v>
      </c>
      <c r="D314" s="126">
        <v>8.0</v>
      </c>
      <c r="E314" s="60">
        <v>2.0</v>
      </c>
      <c r="F314" s="98">
        <f t="shared" si="11"/>
        <v>0.3999876801</v>
      </c>
      <c r="G314" s="68">
        <f t="shared" si="2"/>
        <v>0.571416</v>
      </c>
      <c r="H314" s="68">
        <f t="shared" si="3"/>
        <v>1.428584</v>
      </c>
      <c r="I314" s="72">
        <f t="shared" si="60"/>
        <v>1.132</v>
      </c>
      <c r="J314" s="73"/>
      <c r="K314" s="74"/>
      <c r="L314" s="75">
        <v>0.21</v>
      </c>
      <c r="M314" s="127">
        <v>0.052</v>
      </c>
      <c r="N314" s="79" t="s">
        <v>448</v>
      </c>
      <c r="O314" s="82"/>
      <c r="P314" s="85"/>
    </row>
    <row r="315">
      <c r="A315" s="94"/>
      <c r="B315" s="96"/>
      <c r="C315" s="159" t="s">
        <v>615</v>
      </c>
      <c r="D315" s="126">
        <v>8.0</v>
      </c>
      <c r="E315" s="60">
        <v>3.5</v>
      </c>
      <c r="F315" s="98">
        <f t="shared" si="11"/>
        <v>1.44997844</v>
      </c>
      <c r="G315" s="68">
        <f t="shared" si="2"/>
        <v>2.071416</v>
      </c>
      <c r="H315" s="68">
        <f t="shared" si="3"/>
        <v>1.428584</v>
      </c>
      <c r="I315" s="72">
        <f t="shared" si="60"/>
        <v>1.132</v>
      </c>
      <c r="J315" s="73"/>
      <c r="K315" s="74"/>
      <c r="L315" s="75">
        <v>0.21</v>
      </c>
      <c r="M315" s="127">
        <v>0.052</v>
      </c>
      <c r="N315" s="79" t="s">
        <v>448</v>
      </c>
      <c r="O315" s="82"/>
      <c r="P315" s="85"/>
    </row>
    <row r="316">
      <c r="A316" s="94" t="s">
        <v>598</v>
      </c>
      <c r="B316" s="96" t="s">
        <v>810</v>
      </c>
      <c r="C316" s="58" t="s">
        <v>814</v>
      </c>
      <c r="D316" s="310">
        <v>100.0</v>
      </c>
      <c r="E316" s="60">
        <v>20.0</v>
      </c>
      <c r="F316" s="98">
        <f t="shared" si="11"/>
        <v>0.2294693979</v>
      </c>
      <c r="G316" s="68">
        <f t="shared" si="2"/>
        <v>3.73282</v>
      </c>
      <c r="H316" s="68">
        <f t="shared" si="3"/>
        <v>16.26718</v>
      </c>
      <c r="I316" s="200">
        <v>12.89</v>
      </c>
      <c r="J316" s="73">
        <v>1.0</v>
      </c>
      <c r="K316" s="74"/>
      <c r="L316" s="75">
        <v>0.21</v>
      </c>
      <c r="M316" s="127">
        <v>0.052</v>
      </c>
      <c r="N316" s="79" t="s">
        <v>448</v>
      </c>
      <c r="O316" s="82"/>
      <c r="P316" s="85" t="s">
        <v>815</v>
      </c>
    </row>
    <row r="317">
      <c r="A317" s="94"/>
      <c r="B317" s="96"/>
      <c r="C317" s="159" t="s">
        <v>608</v>
      </c>
      <c r="D317" s="126">
        <v>4.0</v>
      </c>
      <c r="E317" s="60">
        <v>1.0</v>
      </c>
      <c r="F317" s="98">
        <f t="shared" si="11"/>
        <v>0.5368367474</v>
      </c>
      <c r="G317" s="68">
        <f t="shared" si="2"/>
        <v>0.3493128</v>
      </c>
      <c r="H317" s="68">
        <f t="shared" si="3"/>
        <v>0.6506872</v>
      </c>
      <c r="I317" s="72">
        <f t="shared" ref="I317:I319" si="61">($I$316*D317)/$D$316</f>
        <v>0.5156</v>
      </c>
      <c r="J317" s="73"/>
      <c r="K317" s="74"/>
      <c r="L317" s="75">
        <v>0.21</v>
      </c>
      <c r="M317" s="127">
        <v>0.052</v>
      </c>
      <c r="N317" s="79" t="s">
        <v>448</v>
      </c>
      <c r="O317" s="82"/>
      <c r="P317" s="85"/>
    </row>
    <row r="318">
      <c r="A318" s="94"/>
      <c r="B318" s="96"/>
      <c r="C318" s="159" t="s">
        <v>515</v>
      </c>
      <c r="D318" s="126">
        <v>8.0</v>
      </c>
      <c r="E318" s="60">
        <v>2.0</v>
      </c>
      <c r="F318" s="98">
        <f t="shared" si="11"/>
        <v>0.5368367474</v>
      </c>
      <c r="G318" s="68">
        <f t="shared" si="2"/>
        <v>0.6986256</v>
      </c>
      <c r="H318" s="68">
        <f t="shared" si="3"/>
        <v>1.3013744</v>
      </c>
      <c r="I318" s="72">
        <f t="shared" si="61"/>
        <v>1.0312</v>
      </c>
      <c r="J318" s="73"/>
      <c r="K318" s="74"/>
      <c r="L318" s="75">
        <v>0.21</v>
      </c>
      <c r="M318" s="127">
        <v>0.052</v>
      </c>
      <c r="N318" s="79" t="s">
        <v>448</v>
      </c>
      <c r="O318" s="82"/>
      <c r="P318" s="85"/>
    </row>
    <row r="319">
      <c r="A319" s="94"/>
      <c r="B319" s="96"/>
      <c r="C319" s="159" t="s">
        <v>615</v>
      </c>
      <c r="D319" s="126">
        <v>8.0</v>
      </c>
      <c r="E319" s="60">
        <v>3.5</v>
      </c>
      <c r="F319" s="98">
        <f t="shared" si="11"/>
        <v>1.689464308</v>
      </c>
      <c r="G319" s="68">
        <f t="shared" si="2"/>
        <v>2.1986256</v>
      </c>
      <c r="H319" s="68">
        <f t="shared" si="3"/>
        <v>1.3013744</v>
      </c>
      <c r="I319" s="72">
        <f t="shared" si="61"/>
        <v>1.0312</v>
      </c>
      <c r="J319" s="73"/>
      <c r="K319" s="74"/>
      <c r="L319" s="75">
        <v>0.21</v>
      </c>
      <c r="M319" s="127">
        <v>0.052</v>
      </c>
      <c r="N319" s="79" t="s">
        <v>448</v>
      </c>
      <c r="O319" s="82"/>
      <c r="P319" s="85"/>
    </row>
    <row r="320" outlineLevel="1">
      <c r="A320" s="94" t="s">
        <v>598</v>
      </c>
      <c r="B320" s="96"/>
      <c r="C320" s="58" t="s">
        <v>814</v>
      </c>
      <c r="D320" s="310">
        <v>70.0</v>
      </c>
      <c r="E320" s="60">
        <v>14.0</v>
      </c>
      <c r="F320" s="98">
        <f t="shared" si="11"/>
        <v>0.1567781415</v>
      </c>
      <c r="G320" s="68">
        <f t="shared" si="2"/>
        <v>1.89742</v>
      </c>
      <c r="H320" s="68">
        <f t="shared" si="3"/>
        <v>12.10258</v>
      </c>
      <c r="I320" s="200">
        <v>9.59</v>
      </c>
      <c r="J320" s="73">
        <v>1.0</v>
      </c>
      <c r="K320" s="74"/>
      <c r="L320" s="75">
        <v>0.21</v>
      </c>
      <c r="M320" s="127">
        <v>0.052</v>
      </c>
      <c r="N320" s="79" t="s">
        <v>448</v>
      </c>
      <c r="O320" s="82"/>
      <c r="P320" s="85"/>
    </row>
    <row r="321" outlineLevel="1">
      <c r="A321" s="94"/>
      <c r="B321" s="96"/>
      <c r="C321" s="159" t="s">
        <v>608</v>
      </c>
      <c r="D321" s="126">
        <v>4.0</v>
      </c>
      <c r="E321" s="325">
        <f t="shared" ref="E321:E323" si="62">E317</f>
        <v>1</v>
      </c>
      <c r="F321" s="98">
        <f t="shared" si="11"/>
        <v>0.4459726769</v>
      </c>
      <c r="G321" s="68">
        <f t="shared" si="2"/>
        <v>0.308424</v>
      </c>
      <c r="H321" s="68">
        <f t="shared" si="3"/>
        <v>0.691576</v>
      </c>
      <c r="I321" s="72">
        <f t="shared" ref="I321:I323" si="63">($I$320*D321)/$D$320</f>
        <v>0.548</v>
      </c>
      <c r="J321" s="73"/>
      <c r="K321" s="74"/>
      <c r="L321" s="75">
        <v>0.21</v>
      </c>
      <c r="M321" s="127">
        <v>0.052</v>
      </c>
      <c r="N321" s="79" t="s">
        <v>448</v>
      </c>
      <c r="O321" s="82"/>
      <c r="P321" s="85"/>
    </row>
    <row r="322" outlineLevel="1">
      <c r="A322" s="94"/>
      <c r="B322" s="96"/>
      <c r="C322" s="159" t="s">
        <v>515</v>
      </c>
      <c r="D322" s="126">
        <v>8.0</v>
      </c>
      <c r="E322" s="325">
        <f t="shared" si="62"/>
        <v>2</v>
      </c>
      <c r="F322" s="98">
        <f t="shared" si="11"/>
        <v>0.4459726769</v>
      </c>
      <c r="G322" s="68">
        <f t="shared" si="2"/>
        <v>0.616848</v>
      </c>
      <c r="H322" s="68">
        <f t="shared" si="3"/>
        <v>1.383152</v>
      </c>
      <c r="I322" s="72">
        <f t="shared" si="63"/>
        <v>1.096</v>
      </c>
      <c r="J322" s="73"/>
      <c r="K322" s="74"/>
      <c r="L322" s="75">
        <v>0.21</v>
      </c>
      <c r="M322" s="127">
        <v>0.052</v>
      </c>
      <c r="N322" s="79" t="s">
        <v>448</v>
      </c>
      <c r="O322" s="82"/>
      <c r="P322" s="85"/>
    </row>
    <row r="323" outlineLevel="1">
      <c r="A323" s="94"/>
      <c r="B323" s="96"/>
      <c r="C323" s="159" t="s">
        <v>615</v>
      </c>
      <c r="D323" s="126">
        <v>8.0</v>
      </c>
      <c r="E323" s="325">
        <f t="shared" si="62"/>
        <v>3.5</v>
      </c>
      <c r="F323" s="98">
        <f t="shared" si="11"/>
        <v>1.530452185</v>
      </c>
      <c r="G323" s="68">
        <f t="shared" si="2"/>
        <v>2.116848</v>
      </c>
      <c r="H323" s="68">
        <f t="shared" si="3"/>
        <v>1.383152</v>
      </c>
      <c r="I323" s="72">
        <f t="shared" si="63"/>
        <v>1.096</v>
      </c>
      <c r="J323" s="73"/>
      <c r="K323" s="74"/>
      <c r="L323" s="75">
        <v>0.21</v>
      </c>
      <c r="M323" s="127">
        <v>0.052</v>
      </c>
      <c r="N323" s="79" t="s">
        <v>448</v>
      </c>
      <c r="O323" s="82"/>
      <c r="P323" s="85"/>
    </row>
    <row r="324">
      <c r="A324" s="94" t="s">
        <v>598</v>
      </c>
      <c r="B324" s="96" t="s">
        <v>810</v>
      </c>
      <c r="C324" s="58" t="s">
        <v>816</v>
      </c>
      <c r="D324" s="310">
        <v>70.0</v>
      </c>
      <c r="E324" s="60">
        <v>15.0</v>
      </c>
      <c r="F324" s="98">
        <f t="shared" si="11"/>
        <v>0.4285931976</v>
      </c>
      <c r="G324" s="68">
        <f t="shared" si="2"/>
        <v>4.50016</v>
      </c>
      <c r="H324" s="68">
        <f t="shared" si="3"/>
        <v>10.49984</v>
      </c>
      <c r="I324" s="200">
        <v>8.32</v>
      </c>
      <c r="J324" s="73"/>
      <c r="K324" s="74"/>
      <c r="L324" s="75">
        <v>0.21</v>
      </c>
      <c r="M324" s="127">
        <v>0.052</v>
      </c>
      <c r="N324" s="79" t="s">
        <v>448</v>
      </c>
      <c r="O324" s="82"/>
      <c r="P324" s="85"/>
    </row>
    <row r="325">
      <c r="A325" s="94"/>
      <c r="B325" s="96"/>
      <c r="C325" s="159" t="s">
        <v>608</v>
      </c>
      <c r="D325" s="126">
        <v>4.0</v>
      </c>
      <c r="E325" s="60">
        <v>1.0</v>
      </c>
      <c r="F325" s="98">
        <f t="shared" si="11"/>
        <v>0.7383184997</v>
      </c>
      <c r="G325" s="68">
        <f t="shared" si="2"/>
        <v>0.4247314286</v>
      </c>
      <c r="H325" s="68">
        <f t="shared" si="3"/>
        <v>0.5752685714</v>
      </c>
      <c r="I325" s="72">
        <f t="shared" ref="I325:I327" si="64">($I$324*D325)/$D$324</f>
        <v>0.4754285714</v>
      </c>
      <c r="J325" s="73"/>
      <c r="K325" s="74"/>
      <c r="L325" s="75">
        <v>0.21</v>
      </c>
      <c r="M325" s="76">
        <v>0.0</v>
      </c>
      <c r="N325" s="79" t="s">
        <v>448</v>
      </c>
      <c r="O325" s="82"/>
      <c r="P325" s="85"/>
    </row>
    <row r="326">
      <c r="A326" s="94"/>
      <c r="B326" s="96"/>
      <c r="C326" s="159" t="s">
        <v>515</v>
      </c>
      <c r="D326" s="126">
        <v>8.0</v>
      </c>
      <c r="E326" s="60">
        <v>1.5</v>
      </c>
      <c r="F326" s="98">
        <f t="shared" si="11"/>
        <v>0.3037388748</v>
      </c>
      <c r="G326" s="68">
        <f t="shared" si="2"/>
        <v>0.3494628571</v>
      </c>
      <c r="H326" s="68">
        <f t="shared" si="3"/>
        <v>1.150537143</v>
      </c>
      <c r="I326" s="72">
        <f t="shared" si="64"/>
        <v>0.9508571429</v>
      </c>
      <c r="J326" s="73"/>
      <c r="K326" s="74"/>
      <c r="L326" s="75">
        <v>0.21</v>
      </c>
      <c r="M326" s="76">
        <v>0.0</v>
      </c>
      <c r="N326" s="79" t="s">
        <v>448</v>
      </c>
      <c r="O326" s="82"/>
      <c r="P326" s="85"/>
    </row>
    <row r="327">
      <c r="A327" s="94"/>
      <c r="B327" s="96"/>
      <c r="C327" s="159" t="s">
        <v>615</v>
      </c>
      <c r="D327" s="126">
        <v>8.0</v>
      </c>
      <c r="E327" s="60">
        <v>3.0</v>
      </c>
      <c r="F327" s="98">
        <f t="shared" si="11"/>
        <v>1.60747775</v>
      </c>
      <c r="G327" s="68">
        <f t="shared" si="2"/>
        <v>1.849462857</v>
      </c>
      <c r="H327" s="68">
        <f t="shared" si="3"/>
        <v>1.150537143</v>
      </c>
      <c r="I327" s="72">
        <f t="shared" si="64"/>
        <v>0.9508571429</v>
      </c>
      <c r="J327" s="73"/>
      <c r="K327" s="74"/>
      <c r="L327" s="75">
        <v>0.21</v>
      </c>
      <c r="M327" s="76">
        <v>0.0</v>
      </c>
      <c r="N327" s="79" t="s">
        <v>448</v>
      </c>
      <c r="O327" s="82"/>
      <c r="P327" s="85"/>
    </row>
    <row r="328">
      <c r="A328" s="94" t="s">
        <v>598</v>
      </c>
      <c r="B328" s="96" t="s">
        <v>817</v>
      </c>
      <c r="C328" s="58" t="s">
        <v>818</v>
      </c>
      <c r="D328" s="310">
        <v>70.0</v>
      </c>
      <c r="E328" s="60">
        <v>12.0</v>
      </c>
      <c r="F328" s="98">
        <f t="shared" si="11"/>
        <v>0.652892562</v>
      </c>
      <c r="G328" s="68">
        <f t="shared" si="2"/>
        <v>4.74</v>
      </c>
      <c r="H328" s="68">
        <f t="shared" si="3"/>
        <v>7.26</v>
      </c>
      <c r="I328" s="200">
        <v>6.0</v>
      </c>
      <c r="J328" s="73"/>
      <c r="K328" s="74"/>
      <c r="L328" s="75">
        <v>0.21</v>
      </c>
      <c r="M328" s="76">
        <v>0.0</v>
      </c>
      <c r="N328" s="79" t="s">
        <v>448</v>
      </c>
      <c r="O328" s="82"/>
      <c r="P328" s="85"/>
    </row>
    <row r="329">
      <c r="A329" s="94"/>
      <c r="B329" s="96"/>
      <c r="C329" s="159" t="s">
        <v>608</v>
      </c>
      <c r="D329" s="126">
        <v>4.0</v>
      </c>
      <c r="E329" s="60">
        <v>1.0</v>
      </c>
      <c r="F329" s="98">
        <f t="shared" si="11"/>
        <v>1.41046832</v>
      </c>
      <c r="G329" s="68">
        <f t="shared" si="2"/>
        <v>0.5851428571</v>
      </c>
      <c r="H329" s="68">
        <f t="shared" si="3"/>
        <v>0.4148571429</v>
      </c>
      <c r="I329" s="72">
        <f t="shared" ref="I329:I331" si="65">($I$328*D329)/$D$328</f>
        <v>0.3428571429</v>
      </c>
      <c r="J329" s="73"/>
      <c r="K329" s="74"/>
      <c r="L329" s="75">
        <v>0.21</v>
      </c>
      <c r="M329" s="76">
        <v>0.0</v>
      </c>
      <c r="N329" s="79" t="s">
        <v>448</v>
      </c>
      <c r="O329" s="82"/>
      <c r="P329" s="85"/>
    </row>
    <row r="330">
      <c r="A330" s="94"/>
      <c r="B330" s="96"/>
      <c r="C330" s="159" t="s">
        <v>515</v>
      </c>
      <c r="D330" s="126">
        <v>8.0</v>
      </c>
      <c r="E330" s="60">
        <v>1.5</v>
      </c>
      <c r="F330" s="98">
        <f t="shared" si="11"/>
        <v>0.8078512397</v>
      </c>
      <c r="G330" s="68">
        <f t="shared" si="2"/>
        <v>0.6702857143</v>
      </c>
      <c r="H330" s="68">
        <f t="shared" si="3"/>
        <v>0.8297142857</v>
      </c>
      <c r="I330" s="72">
        <f t="shared" si="65"/>
        <v>0.6857142857</v>
      </c>
      <c r="J330" s="73"/>
      <c r="K330" s="74"/>
      <c r="L330" s="75">
        <v>0.21</v>
      </c>
      <c r="M330" s="76">
        <v>0.0</v>
      </c>
      <c r="N330" s="79" t="s">
        <v>448</v>
      </c>
      <c r="O330" s="82"/>
      <c r="P330" s="85"/>
    </row>
    <row r="331">
      <c r="A331" s="94"/>
      <c r="B331" s="96"/>
      <c r="C331" s="159" t="s">
        <v>615</v>
      </c>
      <c r="D331" s="126">
        <v>8.0</v>
      </c>
      <c r="E331" s="60">
        <v>3.0</v>
      </c>
      <c r="F331" s="98">
        <f t="shared" si="11"/>
        <v>2.615702479</v>
      </c>
      <c r="G331" s="68">
        <f t="shared" si="2"/>
        <v>2.170285714</v>
      </c>
      <c r="H331" s="68">
        <f t="shared" si="3"/>
        <v>0.8297142857</v>
      </c>
      <c r="I331" s="72">
        <f t="shared" si="65"/>
        <v>0.6857142857</v>
      </c>
      <c r="J331" s="73"/>
      <c r="K331" s="74"/>
      <c r="L331" s="75">
        <v>0.21</v>
      </c>
      <c r="M331" s="76">
        <v>0.0</v>
      </c>
      <c r="N331" s="79" t="s">
        <v>448</v>
      </c>
      <c r="O331" s="82"/>
      <c r="P331" s="85"/>
    </row>
    <row r="332">
      <c r="A332" s="94" t="s">
        <v>598</v>
      </c>
      <c r="B332" s="96" t="s">
        <v>819</v>
      </c>
      <c r="C332" s="58" t="s">
        <v>820</v>
      </c>
      <c r="D332" s="310">
        <v>100.0</v>
      </c>
      <c r="E332" s="60">
        <v>10.0</v>
      </c>
      <c r="F332" s="98">
        <f t="shared" si="11"/>
        <v>0.5026296018</v>
      </c>
      <c r="G332" s="68">
        <f t="shared" si="2"/>
        <v>3.345</v>
      </c>
      <c r="H332" s="68">
        <f t="shared" si="3"/>
        <v>6.655</v>
      </c>
      <c r="I332" s="200">
        <v>5.5</v>
      </c>
      <c r="J332" s="73"/>
      <c r="K332" s="74"/>
      <c r="L332" s="75">
        <v>0.21</v>
      </c>
      <c r="M332" s="76">
        <v>0.0</v>
      </c>
      <c r="N332" s="79" t="s">
        <v>448</v>
      </c>
      <c r="O332" s="82"/>
      <c r="P332" s="85"/>
    </row>
    <row r="333">
      <c r="A333" s="94"/>
      <c r="B333" s="96"/>
      <c r="C333" s="159" t="s">
        <v>615</v>
      </c>
      <c r="D333" s="126">
        <v>8.0</v>
      </c>
      <c r="E333" s="60">
        <v>2.0</v>
      </c>
      <c r="F333" s="98">
        <f t="shared" si="11"/>
        <v>2.756574005</v>
      </c>
      <c r="G333" s="68">
        <f t="shared" si="2"/>
        <v>1.4676</v>
      </c>
      <c r="H333" s="68">
        <f t="shared" si="3"/>
        <v>0.5324</v>
      </c>
      <c r="I333" s="72">
        <f>($I$332*D333)/$D$332</f>
        <v>0.44</v>
      </c>
      <c r="J333" s="73"/>
      <c r="K333" s="74"/>
      <c r="L333" s="75">
        <v>0.21</v>
      </c>
      <c r="M333" s="76">
        <v>0.0</v>
      </c>
      <c r="N333" s="79" t="s">
        <v>448</v>
      </c>
      <c r="O333" s="82"/>
      <c r="P333" s="85"/>
    </row>
    <row r="334">
      <c r="A334" s="94" t="s">
        <v>598</v>
      </c>
      <c r="B334" s="96" t="s">
        <v>819</v>
      </c>
      <c r="C334" s="58" t="s">
        <v>821</v>
      </c>
      <c r="D334" s="310">
        <v>100.0</v>
      </c>
      <c r="E334" s="60">
        <v>10.0</v>
      </c>
      <c r="F334" s="98">
        <f t="shared" si="11"/>
        <v>0.5026296018</v>
      </c>
      <c r="G334" s="68">
        <f t="shared" si="2"/>
        <v>3.345</v>
      </c>
      <c r="H334" s="68">
        <f t="shared" si="3"/>
        <v>6.655</v>
      </c>
      <c r="I334" s="200">
        <v>5.5</v>
      </c>
      <c r="J334" s="73"/>
      <c r="K334" s="74"/>
      <c r="L334" s="75">
        <v>0.21</v>
      </c>
      <c r="M334" s="76">
        <v>0.0</v>
      </c>
      <c r="N334" s="79" t="s">
        <v>448</v>
      </c>
      <c r="O334" s="82"/>
      <c r="P334" s="85"/>
    </row>
    <row r="335">
      <c r="A335" s="94"/>
      <c r="B335" s="96"/>
      <c r="C335" s="159" t="s">
        <v>615</v>
      </c>
      <c r="D335" s="126">
        <v>8.0</v>
      </c>
      <c r="E335" s="60">
        <v>2.0</v>
      </c>
      <c r="F335" s="98">
        <f t="shared" si="11"/>
        <v>2.756574005</v>
      </c>
      <c r="G335" s="68">
        <f t="shared" si="2"/>
        <v>1.4676</v>
      </c>
      <c r="H335" s="68">
        <f t="shared" si="3"/>
        <v>0.5324</v>
      </c>
      <c r="I335" s="72">
        <f>($I$334*D335)/$D$334</f>
        <v>0.44</v>
      </c>
      <c r="J335" s="73"/>
      <c r="K335" s="74"/>
      <c r="L335" s="75">
        <v>0.21</v>
      </c>
      <c r="M335" s="76">
        <v>0.0</v>
      </c>
      <c r="N335" s="79" t="s">
        <v>448</v>
      </c>
      <c r="O335" s="82"/>
      <c r="P335" s="85"/>
    </row>
    <row r="336">
      <c r="A336" s="160" t="s">
        <v>598</v>
      </c>
      <c r="B336" s="161" t="s">
        <v>819</v>
      </c>
      <c r="C336" s="319" t="s">
        <v>822</v>
      </c>
      <c r="D336" s="320">
        <v>300.0</v>
      </c>
      <c r="E336" s="234">
        <v>12.0</v>
      </c>
      <c r="F336" s="165">
        <f t="shared" si="11"/>
        <v>0.4628794344</v>
      </c>
      <c r="G336" s="166">
        <f t="shared" si="2"/>
        <v>3.797</v>
      </c>
      <c r="H336" s="166">
        <f t="shared" si="3"/>
        <v>8.203</v>
      </c>
      <c r="I336" s="321">
        <v>6.5</v>
      </c>
      <c r="J336" s="322">
        <v>1.0</v>
      </c>
      <c r="K336" s="169"/>
      <c r="L336" s="170">
        <v>0.21</v>
      </c>
      <c r="M336" s="238">
        <v>0.052</v>
      </c>
      <c r="N336" s="323" t="s">
        <v>147</v>
      </c>
      <c r="O336" s="90"/>
      <c r="P336" s="190"/>
    </row>
    <row r="337">
      <c r="A337" s="307"/>
      <c r="B337" s="308"/>
      <c r="C337" s="263" t="s">
        <v>615</v>
      </c>
      <c r="D337" s="324">
        <v>18.0</v>
      </c>
      <c r="E337" s="267">
        <v>2.0</v>
      </c>
      <c r="F337" s="270">
        <f t="shared" si="11"/>
        <v>1.480103371</v>
      </c>
      <c r="G337" s="272">
        <f t="shared" si="2"/>
        <v>1.193582</v>
      </c>
      <c r="H337" s="272">
        <f t="shared" si="3"/>
        <v>0.806418</v>
      </c>
      <c r="I337" s="276">
        <f>($I$338*D337)/$D$338</f>
        <v>0.639</v>
      </c>
      <c r="J337" s="278"/>
      <c r="K337" s="279"/>
      <c r="L337" s="281">
        <v>0.21</v>
      </c>
      <c r="M337" s="283">
        <v>0.052</v>
      </c>
      <c r="N337" s="323" t="s">
        <v>147</v>
      </c>
      <c r="O337" s="90"/>
      <c r="P337" s="288"/>
    </row>
    <row r="338">
      <c r="A338" s="94" t="s">
        <v>598</v>
      </c>
      <c r="B338" s="96" t="s">
        <v>819</v>
      </c>
      <c r="C338" s="58" t="s">
        <v>823</v>
      </c>
      <c r="D338" s="310">
        <v>100.0</v>
      </c>
      <c r="E338" s="60">
        <v>8.0</v>
      </c>
      <c r="F338" s="98">
        <f t="shared" si="11"/>
        <v>0.7856744269</v>
      </c>
      <c r="G338" s="68">
        <f t="shared" si="2"/>
        <v>3.5199</v>
      </c>
      <c r="H338" s="68">
        <f t="shared" si="3"/>
        <v>4.4801</v>
      </c>
      <c r="I338" s="200">
        <v>3.55</v>
      </c>
      <c r="J338" s="73">
        <v>1.0</v>
      </c>
      <c r="K338" s="74"/>
      <c r="L338" s="75">
        <v>0.21</v>
      </c>
      <c r="M338" s="127">
        <v>0.052</v>
      </c>
      <c r="N338" s="79" t="s">
        <v>824</v>
      </c>
      <c r="O338" s="82"/>
      <c r="P338" s="85"/>
    </row>
    <row r="339">
      <c r="A339" s="94"/>
      <c r="B339" s="96"/>
      <c r="C339" s="159" t="s">
        <v>615</v>
      </c>
      <c r="D339" s="126">
        <v>6.0</v>
      </c>
      <c r="E339" s="60">
        <v>2.0</v>
      </c>
      <c r="F339" s="98">
        <f t="shared" si="11"/>
        <v>6.440310112</v>
      </c>
      <c r="G339" s="68">
        <f t="shared" si="2"/>
        <v>1.731194</v>
      </c>
      <c r="H339" s="68">
        <f t="shared" si="3"/>
        <v>0.268806</v>
      </c>
      <c r="I339" s="72">
        <f>($I$338*D339)/$D$338</f>
        <v>0.213</v>
      </c>
      <c r="J339" s="73"/>
      <c r="K339" s="74"/>
      <c r="L339" s="75">
        <v>0.21</v>
      </c>
      <c r="M339" s="127">
        <v>0.052</v>
      </c>
      <c r="N339" s="79" t="s">
        <v>824</v>
      </c>
      <c r="O339" s="82"/>
      <c r="P339" s="85"/>
    </row>
    <row r="340">
      <c r="A340" s="94" t="s">
        <v>598</v>
      </c>
      <c r="B340" s="96" t="s">
        <v>819</v>
      </c>
      <c r="C340" s="58" t="s">
        <v>825</v>
      </c>
      <c r="D340" s="310">
        <v>100.0</v>
      </c>
      <c r="E340" s="60">
        <v>10.0</v>
      </c>
      <c r="F340" s="98">
        <f t="shared" si="11"/>
        <v>0.4175188317</v>
      </c>
      <c r="G340" s="68">
        <f t="shared" si="2"/>
        <v>2.94542</v>
      </c>
      <c r="H340" s="68">
        <f t="shared" si="3"/>
        <v>7.05458</v>
      </c>
      <c r="I340" s="200">
        <v>5.59</v>
      </c>
      <c r="J340" s="73">
        <v>1.0</v>
      </c>
      <c r="K340" s="74"/>
      <c r="L340" s="75">
        <v>0.21</v>
      </c>
      <c r="M340" s="127">
        <v>0.052</v>
      </c>
      <c r="N340" s="79" t="s">
        <v>448</v>
      </c>
      <c r="O340" s="82"/>
      <c r="P340" s="85"/>
    </row>
    <row r="341">
      <c r="A341" s="94"/>
      <c r="B341" s="96"/>
      <c r="C341" s="159" t="s">
        <v>615</v>
      </c>
      <c r="D341" s="126">
        <v>8.0</v>
      </c>
      <c r="E341" s="60">
        <v>2.0</v>
      </c>
      <c r="F341" s="98">
        <f t="shared" si="11"/>
        <v>2.543797079</v>
      </c>
      <c r="G341" s="68">
        <f t="shared" si="2"/>
        <v>1.4356336</v>
      </c>
      <c r="H341" s="68">
        <f t="shared" si="3"/>
        <v>0.5643664</v>
      </c>
      <c r="I341" s="72">
        <f>($I$340*D341)/$D$340</f>
        <v>0.4472</v>
      </c>
      <c r="J341" s="73"/>
      <c r="K341" s="74"/>
      <c r="L341" s="75">
        <v>0.21</v>
      </c>
      <c r="M341" s="127">
        <v>0.052</v>
      </c>
      <c r="N341" s="79" t="s">
        <v>448</v>
      </c>
      <c r="O341" s="82"/>
      <c r="P341" s="85"/>
    </row>
    <row r="342">
      <c r="A342" s="94" t="s">
        <v>598</v>
      </c>
      <c r="B342" s="96" t="s">
        <v>819</v>
      </c>
      <c r="C342" s="58" t="s">
        <v>826</v>
      </c>
      <c r="D342" s="310">
        <v>100.0</v>
      </c>
      <c r="E342" s="60">
        <v>10.0</v>
      </c>
      <c r="F342" s="98">
        <f t="shared" si="11"/>
        <v>0.4175188317</v>
      </c>
      <c r="G342" s="68">
        <f t="shared" si="2"/>
        <v>2.94542</v>
      </c>
      <c r="H342" s="68">
        <f t="shared" si="3"/>
        <v>7.05458</v>
      </c>
      <c r="I342" s="200">
        <v>5.59</v>
      </c>
      <c r="J342" s="73">
        <v>1.0</v>
      </c>
      <c r="K342" s="74"/>
      <c r="L342" s="75">
        <v>0.21</v>
      </c>
      <c r="M342" s="127">
        <v>0.052</v>
      </c>
      <c r="N342" s="79" t="s">
        <v>448</v>
      </c>
      <c r="O342" s="82"/>
      <c r="P342" s="85" t="s">
        <v>827</v>
      </c>
    </row>
    <row r="343">
      <c r="A343" s="94"/>
      <c r="B343" s="96"/>
      <c r="C343" s="159" t="s">
        <v>615</v>
      </c>
      <c r="D343" s="126">
        <v>8.0</v>
      </c>
      <c r="E343" s="60">
        <v>2.0</v>
      </c>
      <c r="F343" s="98">
        <f t="shared" si="11"/>
        <v>2.543797079</v>
      </c>
      <c r="G343" s="68">
        <f t="shared" si="2"/>
        <v>1.4356336</v>
      </c>
      <c r="H343" s="68">
        <f t="shared" si="3"/>
        <v>0.5643664</v>
      </c>
      <c r="I343" s="72">
        <f>($I$342*D343)/$D$342</f>
        <v>0.4472</v>
      </c>
      <c r="J343" s="73"/>
      <c r="K343" s="74"/>
      <c r="L343" s="75">
        <v>0.21</v>
      </c>
      <c r="M343" s="127">
        <v>0.052</v>
      </c>
      <c r="N343" s="79" t="s">
        <v>448</v>
      </c>
      <c r="O343" s="82"/>
      <c r="P343" s="85"/>
    </row>
    <row r="344">
      <c r="A344" s="94" t="s">
        <v>598</v>
      </c>
      <c r="B344" s="96" t="s">
        <v>828</v>
      </c>
      <c r="C344" s="58" t="s">
        <v>829</v>
      </c>
      <c r="D344" s="310">
        <v>70.0</v>
      </c>
      <c r="E344" s="60">
        <v>18.0</v>
      </c>
      <c r="F344" s="98">
        <f t="shared" si="11"/>
        <v>0.652892562</v>
      </c>
      <c r="G344" s="68">
        <f t="shared" si="2"/>
        <v>7.11</v>
      </c>
      <c r="H344" s="68">
        <f t="shared" si="3"/>
        <v>10.89</v>
      </c>
      <c r="I344" s="200">
        <v>9.0</v>
      </c>
      <c r="J344" s="73"/>
      <c r="K344" s="74"/>
      <c r="L344" s="75">
        <v>0.21</v>
      </c>
      <c r="M344" s="76">
        <v>0.0</v>
      </c>
      <c r="N344" s="79" t="s">
        <v>448</v>
      </c>
      <c r="O344" s="82"/>
      <c r="P344" s="85"/>
    </row>
    <row r="345">
      <c r="A345" s="94"/>
      <c r="B345" s="96"/>
      <c r="C345" s="159" t="s">
        <v>608</v>
      </c>
      <c r="D345" s="126">
        <v>4.0</v>
      </c>
      <c r="E345" s="60">
        <v>1.0</v>
      </c>
      <c r="F345" s="98">
        <f t="shared" si="11"/>
        <v>0.6069788797</v>
      </c>
      <c r="G345" s="68">
        <f t="shared" si="2"/>
        <v>0.3777142857</v>
      </c>
      <c r="H345" s="68">
        <f t="shared" si="3"/>
        <v>0.6222857143</v>
      </c>
      <c r="I345" s="72">
        <f t="shared" ref="I345:I347" si="66">($I$344*D345)/$D$344</f>
        <v>0.5142857143</v>
      </c>
      <c r="J345" s="73"/>
      <c r="K345" s="74"/>
      <c r="L345" s="75">
        <v>0.21</v>
      </c>
      <c r="M345" s="76">
        <v>0.0</v>
      </c>
      <c r="N345" s="79" t="s">
        <v>448</v>
      </c>
      <c r="O345" s="82"/>
      <c r="P345" s="85"/>
    </row>
    <row r="346">
      <c r="A346" s="94"/>
      <c r="B346" s="96"/>
      <c r="C346" s="159" t="s">
        <v>515</v>
      </c>
      <c r="D346" s="126">
        <v>8.0</v>
      </c>
      <c r="E346" s="60">
        <v>2.0</v>
      </c>
      <c r="F346" s="98">
        <f t="shared" si="11"/>
        <v>0.6069788797</v>
      </c>
      <c r="G346" s="68">
        <f t="shared" si="2"/>
        <v>0.7554285714</v>
      </c>
      <c r="H346" s="68">
        <f t="shared" si="3"/>
        <v>1.244571429</v>
      </c>
      <c r="I346" s="72">
        <f t="shared" si="66"/>
        <v>1.028571429</v>
      </c>
      <c r="J346" s="73"/>
      <c r="K346" s="74"/>
      <c r="L346" s="75">
        <v>0.21</v>
      </c>
      <c r="M346" s="76">
        <v>0.0</v>
      </c>
      <c r="N346" s="79" t="s">
        <v>448</v>
      </c>
      <c r="O346" s="82"/>
      <c r="P346" s="85"/>
    </row>
    <row r="347">
      <c r="A347" s="94"/>
      <c r="B347" s="96"/>
      <c r="C347" s="159" t="s">
        <v>615</v>
      </c>
      <c r="D347" s="126">
        <v>8.0</v>
      </c>
      <c r="E347" s="60">
        <v>3.0</v>
      </c>
      <c r="F347" s="98">
        <f t="shared" si="11"/>
        <v>1.41046832</v>
      </c>
      <c r="G347" s="68">
        <f t="shared" si="2"/>
        <v>1.755428571</v>
      </c>
      <c r="H347" s="68">
        <f t="shared" si="3"/>
        <v>1.244571429</v>
      </c>
      <c r="I347" s="72">
        <f t="shared" si="66"/>
        <v>1.028571429</v>
      </c>
      <c r="J347" s="73"/>
      <c r="K347" s="74"/>
      <c r="L347" s="75">
        <v>0.21</v>
      </c>
      <c r="M347" s="76">
        <v>0.0</v>
      </c>
      <c r="N347" s="79" t="s">
        <v>448</v>
      </c>
      <c r="O347" s="82"/>
      <c r="P347" s="85"/>
    </row>
    <row r="348">
      <c r="A348" s="160" t="s">
        <v>598</v>
      </c>
      <c r="B348" s="161" t="s">
        <v>828</v>
      </c>
      <c r="C348" s="202" t="s">
        <v>830</v>
      </c>
      <c r="D348" s="320">
        <v>100.0</v>
      </c>
      <c r="E348" s="234">
        <v>15.0</v>
      </c>
      <c r="F348" s="165">
        <f t="shared" si="11"/>
        <v>0.3315461026</v>
      </c>
      <c r="G348" s="166">
        <f t="shared" si="2"/>
        <v>3.7349</v>
      </c>
      <c r="H348" s="166">
        <f t="shared" si="3"/>
        <v>11.2651</v>
      </c>
      <c r="I348" s="321">
        <v>9.31</v>
      </c>
      <c r="J348" s="322">
        <v>1.0</v>
      </c>
      <c r="K348" s="169"/>
      <c r="L348" s="170">
        <v>0.21</v>
      </c>
      <c r="M348" s="171">
        <v>0.0</v>
      </c>
      <c r="N348" s="318" t="s">
        <v>448</v>
      </c>
      <c r="O348" s="82"/>
      <c r="P348" s="190"/>
    </row>
    <row r="349">
      <c r="A349" s="307"/>
      <c r="B349" s="308"/>
      <c r="C349" s="263" t="s">
        <v>608</v>
      </c>
      <c r="D349" s="265">
        <v>4.0</v>
      </c>
      <c r="E349" s="267">
        <v>1.0</v>
      </c>
      <c r="F349" s="270">
        <f t="shared" si="11"/>
        <v>1.219243504</v>
      </c>
      <c r="G349" s="272">
        <f t="shared" si="2"/>
        <v>0.549396</v>
      </c>
      <c r="H349" s="272">
        <f t="shared" si="3"/>
        <v>0.450604</v>
      </c>
      <c r="I349" s="276">
        <f t="shared" ref="I349:I351" si="67">($I$348*D349)/$D$348</f>
        <v>0.3724</v>
      </c>
      <c r="J349" s="278"/>
      <c r="K349" s="279"/>
      <c r="L349" s="281">
        <v>0.21</v>
      </c>
      <c r="M349" s="304">
        <v>0.0</v>
      </c>
      <c r="N349" s="286" t="s">
        <v>448</v>
      </c>
      <c r="O349" s="90"/>
      <c r="P349" s="288"/>
    </row>
    <row r="350">
      <c r="A350" s="307"/>
      <c r="B350" s="308"/>
      <c r="C350" s="263" t="s">
        <v>515</v>
      </c>
      <c r="D350" s="265">
        <v>8.0</v>
      </c>
      <c r="E350" s="267">
        <v>1.5</v>
      </c>
      <c r="F350" s="270">
        <f t="shared" si="11"/>
        <v>0.6644326282</v>
      </c>
      <c r="G350" s="272">
        <f t="shared" si="2"/>
        <v>0.598792</v>
      </c>
      <c r="H350" s="272">
        <f t="shared" si="3"/>
        <v>0.901208</v>
      </c>
      <c r="I350" s="276">
        <f t="shared" si="67"/>
        <v>0.7448</v>
      </c>
      <c r="J350" s="278"/>
      <c r="K350" s="279"/>
      <c r="L350" s="281">
        <v>0.21</v>
      </c>
      <c r="M350" s="304">
        <v>0.0</v>
      </c>
      <c r="N350" s="286" t="s">
        <v>448</v>
      </c>
      <c r="O350" s="90"/>
      <c r="P350" s="288"/>
    </row>
    <row r="351">
      <c r="A351" s="307"/>
      <c r="B351" s="308"/>
      <c r="C351" s="263" t="s">
        <v>615</v>
      </c>
      <c r="D351" s="265">
        <v>8.0</v>
      </c>
      <c r="E351" s="267">
        <v>2.5</v>
      </c>
      <c r="F351" s="270">
        <f t="shared" si="11"/>
        <v>1.77405438</v>
      </c>
      <c r="G351" s="272">
        <f t="shared" si="2"/>
        <v>1.598792</v>
      </c>
      <c r="H351" s="272">
        <f t="shared" si="3"/>
        <v>0.901208</v>
      </c>
      <c r="I351" s="276">
        <f t="shared" si="67"/>
        <v>0.7448</v>
      </c>
      <c r="J351" s="278"/>
      <c r="K351" s="279"/>
      <c r="L351" s="281">
        <v>0.21</v>
      </c>
      <c r="M351" s="304">
        <v>0.0</v>
      </c>
      <c r="N351" s="286" t="s">
        <v>448</v>
      </c>
      <c r="O351" s="90"/>
      <c r="P351" s="288"/>
    </row>
    <row r="352">
      <c r="A352" s="94" t="s">
        <v>598</v>
      </c>
      <c r="B352" s="96" t="s">
        <v>828</v>
      </c>
      <c r="C352" s="58" t="s">
        <v>830</v>
      </c>
      <c r="D352" s="310">
        <v>70.0</v>
      </c>
      <c r="E352" s="60">
        <v>12.0</v>
      </c>
      <c r="F352" s="98">
        <f t="shared" si="11"/>
        <v>0.4167650531</v>
      </c>
      <c r="G352" s="68">
        <f t="shared" si="2"/>
        <v>3.53</v>
      </c>
      <c r="H352" s="68">
        <f t="shared" si="3"/>
        <v>8.47</v>
      </c>
      <c r="I352" s="200">
        <v>7.0</v>
      </c>
      <c r="J352" s="73"/>
      <c r="K352" s="74"/>
      <c r="L352" s="75">
        <v>0.21</v>
      </c>
      <c r="M352" s="76">
        <v>0.0</v>
      </c>
      <c r="N352" s="79" t="s">
        <v>448</v>
      </c>
      <c r="O352" s="82"/>
      <c r="P352" s="85"/>
    </row>
    <row r="353">
      <c r="A353" s="94"/>
      <c r="B353" s="96"/>
      <c r="C353" s="159" t="s">
        <v>608</v>
      </c>
      <c r="D353" s="126">
        <v>4.0</v>
      </c>
      <c r="E353" s="60">
        <v>1.0</v>
      </c>
      <c r="F353" s="98">
        <f t="shared" si="11"/>
        <v>1.066115702</v>
      </c>
      <c r="G353" s="68">
        <f t="shared" si="2"/>
        <v>0.516</v>
      </c>
      <c r="H353" s="68">
        <f t="shared" si="3"/>
        <v>0.484</v>
      </c>
      <c r="I353" s="72">
        <f t="shared" ref="I353:I355" si="68">($I$352*D353)/$D$352</f>
        <v>0.4</v>
      </c>
      <c r="J353" s="73"/>
      <c r="K353" s="74"/>
      <c r="L353" s="75">
        <v>0.21</v>
      </c>
      <c r="M353" s="76">
        <v>0.0</v>
      </c>
      <c r="N353" s="79" t="s">
        <v>448</v>
      </c>
      <c r="O353" s="82"/>
      <c r="P353" s="85"/>
    </row>
    <row r="354">
      <c r="A354" s="94"/>
      <c r="B354" s="96"/>
      <c r="C354" s="159" t="s">
        <v>515</v>
      </c>
      <c r="D354" s="126">
        <v>8.0</v>
      </c>
      <c r="E354" s="60">
        <v>1.5</v>
      </c>
      <c r="F354" s="98">
        <f t="shared" si="11"/>
        <v>0.5495867769</v>
      </c>
      <c r="G354" s="68">
        <f t="shared" si="2"/>
        <v>0.532</v>
      </c>
      <c r="H354" s="68">
        <f t="shared" si="3"/>
        <v>0.968</v>
      </c>
      <c r="I354" s="72">
        <f t="shared" si="68"/>
        <v>0.8</v>
      </c>
      <c r="J354" s="73"/>
      <c r="K354" s="74"/>
      <c r="L354" s="75">
        <v>0.21</v>
      </c>
      <c r="M354" s="76">
        <v>0.0</v>
      </c>
      <c r="N354" s="79" t="s">
        <v>448</v>
      </c>
      <c r="O354" s="82"/>
      <c r="P354" s="85"/>
    </row>
    <row r="355">
      <c r="A355" s="94"/>
      <c r="B355" s="96"/>
      <c r="C355" s="159" t="s">
        <v>615</v>
      </c>
      <c r="D355" s="126">
        <v>8.0</v>
      </c>
      <c r="E355" s="60">
        <v>2.5</v>
      </c>
      <c r="F355" s="98">
        <f t="shared" si="11"/>
        <v>1.582644628</v>
      </c>
      <c r="G355" s="68">
        <f t="shared" si="2"/>
        <v>1.532</v>
      </c>
      <c r="H355" s="68">
        <f t="shared" si="3"/>
        <v>0.968</v>
      </c>
      <c r="I355" s="72">
        <f t="shared" si="68"/>
        <v>0.8</v>
      </c>
      <c r="J355" s="73"/>
      <c r="K355" s="74"/>
      <c r="L355" s="75">
        <v>0.21</v>
      </c>
      <c r="M355" s="76">
        <v>0.0</v>
      </c>
      <c r="N355" s="79" t="s">
        <v>448</v>
      </c>
      <c r="O355" s="82"/>
      <c r="P355" s="85"/>
    </row>
    <row r="356">
      <c r="A356" s="94" t="s">
        <v>598</v>
      </c>
      <c r="B356" s="96" t="s">
        <v>831</v>
      </c>
      <c r="C356" s="58" t="s">
        <v>832</v>
      </c>
      <c r="D356" s="310">
        <v>70.0</v>
      </c>
      <c r="E356" s="60">
        <v>18.0</v>
      </c>
      <c r="F356" s="98">
        <f t="shared" si="11"/>
        <v>0.652892562</v>
      </c>
      <c r="G356" s="68">
        <f t="shared" si="2"/>
        <v>7.11</v>
      </c>
      <c r="H356" s="68">
        <f t="shared" si="3"/>
        <v>10.89</v>
      </c>
      <c r="I356" s="200">
        <v>9.0</v>
      </c>
      <c r="J356" s="73"/>
      <c r="K356" s="74"/>
      <c r="L356" s="75">
        <v>0.21</v>
      </c>
      <c r="M356" s="76">
        <v>0.0</v>
      </c>
      <c r="N356" s="79" t="s">
        <v>448</v>
      </c>
      <c r="O356" s="82"/>
      <c r="P356" s="85"/>
    </row>
    <row r="357">
      <c r="A357" s="94"/>
      <c r="B357" s="96"/>
      <c r="C357" s="159" t="s">
        <v>608</v>
      </c>
      <c r="D357" s="126">
        <v>4.0</v>
      </c>
      <c r="E357" s="60">
        <v>1.0</v>
      </c>
      <c r="F357" s="98">
        <f t="shared" si="11"/>
        <v>0.6069788797</v>
      </c>
      <c r="G357" s="68">
        <f t="shared" si="2"/>
        <v>0.3777142857</v>
      </c>
      <c r="H357" s="68">
        <f t="shared" si="3"/>
        <v>0.6222857143</v>
      </c>
      <c r="I357" s="72">
        <f t="shared" ref="I357:I359" si="69">($I$356*D357)/$D$356</f>
        <v>0.5142857143</v>
      </c>
      <c r="J357" s="73"/>
      <c r="K357" s="74"/>
      <c r="L357" s="75">
        <v>0.21</v>
      </c>
      <c r="M357" s="76">
        <v>0.0</v>
      </c>
      <c r="N357" s="79" t="s">
        <v>651</v>
      </c>
      <c r="O357" s="82"/>
      <c r="P357" s="85"/>
    </row>
    <row r="358">
      <c r="A358" s="94"/>
      <c r="B358" s="96"/>
      <c r="C358" s="159" t="s">
        <v>515</v>
      </c>
      <c r="D358" s="126">
        <v>8.0</v>
      </c>
      <c r="E358" s="60">
        <v>2.0</v>
      </c>
      <c r="F358" s="98">
        <f t="shared" si="11"/>
        <v>0.6069788797</v>
      </c>
      <c r="G358" s="68">
        <f t="shared" si="2"/>
        <v>0.7554285714</v>
      </c>
      <c r="H358" s="68">
        <f t="shared" si="3"/>
        <v>1.244571429</v>
      </c>
      <c r="I358" s="72">
        <f t="shared" si="69"/>
        <v>1.028571429</v>
      </c>
      <c r="J358" s="73"/>
      <c r="K358" s="74"/>
      <c r="L358" s="75">
        <v>0.21</v>
      </c>
      <c r="M358" s="76">
        <v>0.0</v>
      </c>
      <c r="N358" s="79" t="s">
        <v>651</v>
      </c>
      <c r="O358" s="82"/>
      <c r="P358" s="85"/>
    </row>
    <row r="359">
      <c r="A359" s="94"/>
      <c r="B359" s="96"/>
      <c r="C359" s="159" t="s">
        <v>615</v>
      </c>
      <c r="D359" s="126">
        <v>8.0</v>
      </c>
      <c r="E359" s="60">
        <v>3.0</v>
      </c>
      <c r="F359" s="98">
        <f t="shared" si="11"/>
        <v>1.41046832</v>
      </c>
      <c r="G359" s="68">
        <f t="shared" si="2"/>
        <v>1.755428571</v>
      </c>
      <c r="H359" s="68">
        <f t="shared" si="3"/>
        <v>1.244571429</v>
      </c>
      <c r="I359" s="72">
        <f t="shared" si="69"/>
        <v>1.028571429</v>
      </c>
      <c r="J359" s="73"/>
      <c r="K359" s="74"/>
      <c r="L359" s="75">
        <v>0.21</v>
      </c>
      <c r="M359" s="76">
        <v>0.0</v>
      </c>
      <c r="N359" s="79" t="s">
        <v>651</v>
      </c>
      <c r="O359" s="82"/>
      <c r="P359" s="85"/>
    </row>
    <row r="360">
      <c r="A360" s="94" t="s">
        <v>598</v>
      </c>
      <c r="B360" s="96" t="s">
        <v>831</v>
      </c>
      <c r="C360" s="58" t="s">
        <v>833</v>
      </c>
      <c r="D360" s="310">
        <v>70.0</v>
      </c>
      <c r="E360" s="60">
        <v>18.0</v>
      </c>
      <c r="F360" s="98">
        <f t="shared" si="11"/>
        <v>0.4876033058</v>
      </c>
      <c r="G360" s="68">
        <f t="shared" si="2"/>
        <v>5.9</v>
      </c>
      <c r="H360" s="68">
        <f t="shared" si="3"/>
        <v>12.1</v>
      </c>
      <c r="I360" s="200">
        <v>10.0</v>
      </c>
      <c r="J360" s="73"/>
      <c r="K360" s="74"/>
      <c r="L360" s="75">
        <v>0.21</v>
      </c>
      <c r="M360" s="76">
        <v>0.0</v>
      </c>
      <c r="N360" s="79" t="s">
        <v>651</v>
      </c>
      <c r="O360" s="82"/>
      <c r="P360" s="85"/>
    </row>
    <row r="361">
      <c r="A361" s="94"/>
      <c r="B361" s="96"/>
      <c r="C361" s="159" t="s">
        <v>608</v>
      </c>
      <c r="D361" s="126">
        <v>4.0</v>
      </c>
      <c r="E361" s="60">
        <v>1.0</v>
      </c>
      <c r="F361" s="98">
        <f t="shared" si="11"/>
        <v>0.4462809917</v>
      </c>
      <c r="G361" s="68">
        <f t="shared" si="2"/>
        <v>0.3085714286</v>
      </c>
      <c r="H361" s="68">
        <f t="shared" si="3"/>
        <v>0.6914285714</v>
      </c>
      <c r="I361" s="72">
        <f t="shared" ref="I361:I363" si="70">($I$360*D361)/$D$360</f>
        <v>0.5714285714</v>
      </c>
      <c r="J361" s="73"/>
      <c r="K361" s="74"/>
      <c r="L361" s="75">
        <v>0.21</v>
      </c>
      <c r="M361" s="76">
        <v>0.0</v>
      </c>
      <c r="N361" s="79" t="s">
        <v>651</v>
      </c>
      <c r="O361" s="82"/>
      <c r="P361" s="85"/>
    </row>
    <row r="362">
      <c r="A362" s="94"/>
      <c r="B362" s="96"/>
      <c r="C362" s="159" t="s">
        <v>515</v>
      </c>
      <c r="D362" s="126">
        <v>8.0</v>
      </c>
      <c r="E362" s="60">
        <v>2.0</v>
      </c>
      <c r="F362" s="98">
        <f t="shared" si="11"/>
        <v>0.4462809917</v>
      </c>
      <c r="G362" s="68">
        <f t="shared" si="2"/>
        <v>0.6171428571</v>
      </c>
      <c r="H362" s="68">
        <f t="shared" si="3"/>
        <v>1.382857143</v>
      </c>
      <c r="I362" s="72">
        <f t="shared" si="70"/>
        <v>1.142857143</v>
      </c>
      <c r="J362" s="73"/>
      <c r="K362" s="74"/>
      <c r="L362" s="75">
        <v>0.21</v>
      </c>
      <c r="M362" s="76">
        <v>0.0</v>
      </c>
      <c r="N362" s="79" t="s">
        <v>651</v>
      </c>
      <c r="O362" s="82"/>
      <c r="P362" s="85"/>
    </row>
    <row r="363">
      <c r="A363" s="94"/>
      <c r="B363" s="96"/>
      <c r="C363" s="159" t="s">
        <v>615</v>
      </c>
      <c r="D363" s="126">
        <v>8.0</v>
      </c>
      <c r="E363" s="60">
        <v>3.5</v>
      </c>
      <c r="F363" s="98">
        <f t="shared" si="11"/>
        <v>1.530991736</v>
      </c>
      <c r="G363" s="68">
        <f t="shared" si="2"/>
        <v>2.117142857</v>
      </c>
      <c r="H363" s="68">
        <f t="shared" si="3"/>
        <v>1.382857143</v>
      </c>
      <c r="I363" s="72">
        <f t="shared" si="70"/>
        <v>1.142857143</v>
      </c>
      <c r="J363" s="73"/>
      <c r="K363" s="74"/>
      <c r="L363" s="75">
        <v>0.21</v>
      </c>
      <c r="M363" s="76">
        <v>0.0</v>
      </c>
      <c r="N363" s="79" t="s">
        <v>651</v>
      </c>
      <c r="O363" s="82"/>
      <c r="P363" s="85"/>
    </row>
    <row r="364">
      <c r="A364" s="94" t="s">
        <v>598</v>
      </c>
      <c r="B364" s="96" t="s">
        <v>834</v>
      </c>
      <c r="C364" s="58" t="s">
        <v>835</v>
      </c>
      <c r="D364" s="310">
        <v>70.0</v>
      </c>
      <c r="E364" s="60">
        <v>20.0</v>
      </c>
      <c r="F364" s="98">
        <f t="shared" si="11"/>
        <v>0.3233727478</v>
      </c>
      <c r="G364" s="68">
        <f t="shared" si="2"/>
        <v>4.8871</v>
      </c>
      <c r="H364" s="68">
        <f t="shared" si="3"/>
        <v>15.1129</v>
      </c>
      <c r="I364" s="200">
        <v>12.49</v>
      </c>
      <c r="J364" s="73">
        <v>1.0</v>
      </c>
      <c r="K364" s="74"/>
      <c r="L364" s="75">
        <v>0.21</v>
      </c>
      <c r="M364" s="76">
        <v>0.0</v>
      </c>
      <c r="N364" s="79" t="s">
        <v>448</v>
      </c>
      <c r="O364" s="82"/>
      <c r="P364" s="85"/>
    </row>
    <row r="365">
      <c r="A365" s="94"/>
      <c r="B365" s="96"/>
      <c r="C365" s="159" t="s">
        <v>608</v>
      </c>
      <c r="D365" s="126">
        <v>4.0</v>
      </c>
      <c r="E365" s="60">
        <v>1.0</v>
      </c>
      <c r="F365" s="98">
        <f t="shared" si="11"/>
        <v>0.1579511543</v>
      </c>
      <c r="G365" s="68">
        <f t="shared" si="2"/>
        <v>0.1364057143</v>
      </c>
      <c r="H365" s="68">
        <f t="shared" si="3"/>
        <v>0.8635942857</v>
      </c>
      <c r="I365" s="72">
        <f t="shared" ref="I365:I367" si="71">($I$364*D365)/$D$364</f>
        <v>0.7137142857</v>
      </c>
      <c r="J365" s="73"/>
      <c r="K365" s="74"/>
      <c r="L365" s="75">
        <v>0.21</v>
      </c>
      <c r="M365" s="76">
        <v>0.0</v>
      </c>
      <c r="N365" s="79" t="s">
        <v>448</v>
      </c>
      <c r="O365" s="82"/>
      <c r="P365" s="85"/>
    </row>
    <row r="366">
      <c r="A366" s="94"/>
      <c r="B366" s="96"/>
      <c r="C366" s="159" t="s">
        <v>515</v>
      </c>
      <c r="D366" s="126">
        <v>8.0</v>
      </c>
      <c r="E366" s="60">
        <v>2.0</v>
      </c>
      <c r="F366" s="98">
        <f t="shared" si="11"/>
        <v>0.1579511543</v>
      </c>
      <c r="G366" s="68">
        <f t="shared" si="2"/>
        <v>0.2728114286</v>
      </c>
      <c r="H366" s="68">
        <f t="shared" si="3"/>
        <v>1.727188571</v>
      </c>
      <c r="I366" s="72">
        <f t="shared" si="71"/>
        <v>1.427428571</v>
      </c>
      <c r="J366" s="73"/>
      <c r="K366" s="74"/>
      <c r="L366" s="75">
        <v>0.21</v>
      </c>
      <c r="M366" s="76">
        <v>0.0</v>
      </c>
      <c r="N366" s="79" t="s">
        <v>448</v>
      </c>
      <c r="O366" s="82"/>
      <c r="P366" s="85"/>
    </row>
    <row r="367">
      <c r="A367" s="94"/>
      <c r="B367" s="96"/>
      <c r="C367" s="159" t="s">
        <v>615</v>
      </c>
      <c r="D367" s="126">
        <v>8.0</v>
      </c>
      <c r="E367" s="60">
        <v>3.0</v>
      </c>
      <c r="F367" s="98">
        <f t="shared" si="11"/>
        <v>0.7369267315</v>
      </c>
      <c r="G367" s="68">
        <f t="shared" si="2"/>
        <v>1.272811429</v>
      </c>
      <c r="H367" s="68">
        <f t="shared" si="3"/>
        <v>1.727188571</v>
      </c>
      <c r="I367" s="72">
        <f t="shared" si="71"/>
        <v>1.427428571</v>
      </c>
      <c r="J367" s="73"/>
      <c r="K367" s="74"/>
      <c r="L367" s="75">
        <v>0.21</v>
      </c>
      <c r="M367" s="76">
        <v>0.0</v>
      </c>
      <c r="N367" s="79" t="s">
        <v>448</v>
      </c>
      <c r="O367" s="82"/>
      <c r="P367" s="85"/>
    </row>
    <row r="368">
      <c r="A368" s="94" t="s">
        <v>598</v>
      </c>
      <c r="B368" s="96" t="s">
        <v>831</v>
      </c>
      <c r="C368" s="58" t="s">
        <v>836</v>
      </c>
      <c r="D368" s="310">
        <v>70.0</v>
      </c>
      <c r="E368" s="60">
        <v>35.0</v>
      </c>
      <c r="F368" s="98">
        <f t="shared" si="11"/>
        <v>0.2408839348</v>
      </c>
      <c r="G368" s="68">
        <f t="shared" si="2"/>
        <v>6.7943</v>
      </c>
      <c r="H368" s="68">
        <f t="shared" si="3"/>
        <v>28.2057</v>
      </c>
      <c r="I368" s="200">
        <v>22.35</v>
      </c>
      <c r="J368" s="73">
        <v>1.0</v>
      </c>
      <c r="K368" s="74"/>
      <c r="L368" s="75">
        <v>0.21</v>
      </c>
      <c r="M368" s="127">
        <v>0.052</v>
      </c>
      <c r="N368" s="79" t="s">
        <v>448</v>
      </c>
      <c r="O368" s="82"/>
      <c r="P368" s="85"/>
    </row>
    <row r="369">
      <c r="A369" s="94"/>
      <c r="B369" s="96"/>
      <c r="C369" s="159" t="s">
        <v>608</v>
      </c>
      <c r="D369" s="126">
        <v>4.0</v>
      </c>
      <c r="E369" s="60">
        <v>2.0</v>
      </c>
      <c r="F369" s="98">
        <f t="shared" si="11"/>
        <v>0.2408839348</v>
      </c>
      <c r="G369" s="68">
        <f t="shared" si="2"/>
        <v>0.3882457143</v>
      </c>
      <c r="H369" s="68">
        <f t="shared" si="3"/>
        <v>1.611754286</v>
      </c>
      <c r="I369" s="72">
        <f t="shared" ref="I369:I371" si="72">($I$368*D369)/$D$368</f>
        <v>1.277142857</v>
      </c>
      <c r="J369" s="73"/>
      <c r="K369" s="74"/>
      <c r="L369" s="75">
        <v>0.21</v>
      </c>
      <c r="M369" s="127">
        <v>0.052</v>
      </c>
      <c r="N369" s="79" t="s">
        <v>448</v>
      </c>
      <c r="O369" s="82"/>
      <c r="P369" s="85"/>
    </row>
    <row r="370">
      <c r="A370" s="94"/>
      <c r="B370" s="96"/>
      <c r="C370" s="159" t="s">
        <v>515</v>
      </c>
      <c r="D370" s="126">
        <v>8.0</v>
      </c>
      <c r="E370" s="60">
        <v>4.0</v>
      </c>
      <c r="F370" s="98">
        <f t="shared" si="11"/>
        <v>0.2408839348</v>
      </c>
      <c r="G370" s="68">
        <f t="shared" si="2"/>
        <v>0.7764914286</v>
      </c>
      <c r="H370" s="68">
        <f t="shared" si="3"/>
        <v>3.223508571</v>
      </c>
      <c r="I370" s="72">
        <f t="shared" si="72"/>
        <v>2.554285714</v>
      </c>
      <c r="J370" s="73"/>
      <c r="K370" s="74"/>
      <c r="L370" s="75">
        <v>0.21</v>
      </c>
      <c r="M370" s="127">
        <v>0.052</v>
      </c>
      <c r="N370" s="79" t="s">
        <v>448</v>
      </c>
      <c r="O370" s="82"/>
      <c r="P370" s="85"/>
    </row>
    <row r="371">
      <c r="A371" s="94"/>
      <c r="B371" s="96"/>
      <c r="C371" s="159" t="s">
        <v>615</v>
      </c>
      <c r="D371" s="126">
        <v>8.0</v>
      </c>
      <c r="E371" s="60">
        <v>4.5</v>
      </c>
      <c r="F371" s="98">
        <f t="shared" si="11"/>
        <v>0.3959944267</v>
      </c>
      <c r="G371" s="68">
        <f t="shared" si="2"/>
        <v>1.276491429</v>
      </c>
      <c r="H371" s="68">
        <f t="shared" si="3"/>
        <v>3.223508571</v>
      </c>
      <c r="I371" s="72">
        <f t="shared" si="72"/>
        <v>2.554285714</v>
      </c>
      <c r="J371" s="73"/>
      <c r="K371" s="74"/>
      <c r="L371" s="75">
        <v>0.21</v>
      </c>
      <c r="M371" s="127">
        <v>0.052</v>
      </c>
      <c r="N371" s="79" t="s">
        <v>448</v>
      </c>
      <c r="O371" s="82"/>
      <c r="P371" s="85"/>
    </row>
    <row r="372">
      <c r="A372" s="94" t="s">
        <v>598</v>
      </c>
      <c r="B372" s="96" t="s">
        <v>831</v>
      </c>
      <c r="C372" s="58" t="s">
        <v>837</v>
      </c>
      <c r="D372" s="310">
        <v>100.0</v>
      </c>
      <c r="E372" s="60">
        <v>28.0</v>
      </c>
      <c r="F372" s="98">
        <f t="shared" si="11"/>
        <v>0.3051179267</v>
      </c>
      <c r="G372" s="68">
        <f t="shared" si="2"/>
        <v>6.546</v>
      </c>
      <c r="H372" s="68">
        <f t="shared" si="3"/>
        <v>21.454</v>
      </c>
      <c r="I372" s="200">
        <v>17.0</v>
      </c>
      <c r="J372" s="73"/>
      <c r="K372" s="74"/>
      <c r="L372" s="75">
        <v>0.21</v>
      </c>
      <c r="M372" s="127">
        <v>0.052</v>
      </c>
      <c r="N372" s="79" t="s">
        <v>448</v>
      </c>
      <c r="O372" s="82"/>
      <c r="P372" s="85"/>
    </row>
    <row r="373">
      <c r="A373" s="94"/>
      <c r="B373" s="96"/>
      <c r="C373" s="159" t="s">
        <v>608</v>
      </c>
      <c r="D373" s="126">
        <v>4.0</v>
      </c>
      <c r="E373" s="60">
        <v>2.0</v>
      </c>
      <c r="F373" s="98">
        <f t="shared" si="11"/>
        <v>1.330567726</v>
      </c>
      <c r="G373" s="68">
        <f t="shared" si="2"/>
        <v>1.14184</v>
      </c>
      <c r="H373" s="68">
        <f t="shared" si="3"/>
        <v>0.85816</v>
      </c>
      <c r="I373" s="72">
        <f t="shared" ref="I373:I375" si="73">($I$372*D373)/$D$372</f>
        <v>0.68</v>
      </c>
      <c r="J373" s="73"/>
      <c r="K373" s="74"/>
      <c r="L373" s="75">
        <v>0.21</v>
      </c>
      <c r="M373" s="127">
        <v>0.052</v>
      </c>
      <c r="N373" s="79" t="s">
        <v>448</v>
      </c>
      <c r="O373" s="82"/>
      <c r="P373" s="85"/>
    </row>
    <row r="374">
      <c r="A374" s="94"/>
      <c r="B374" s="96"/>
      <c r="C374" s="159" t="s">
        <v>515</v>
      </c>
      <c r="D374" s="126">
        <v>8.0</v>
      </c>
      <c r="E374" s="60">
        <v>4.0</v>
      </c>
      <c r="F374" s="98">
        <f t="shared" si="11"/>
        <v>1.330567726</v>
      </c>
      <c r="G374" s="68">
        <f t="shared" si="2"/>
        <v>2.28368</v>
      </c>
      <c r="H374" s="68">
        <f t="shared" si="3"/>
        <v>1.71632</v>
      </c>
      <c r="I374" s="72">
        <f t="shared" si="73"/>
        <v>1.36</v>
      </c>
      <c r="J374" s="73"/>
      <c r="K374" s="74"/>
      <c r="L374" s="75">
        <v>0.21</v>
      </c>
      <c r="M374" s="127">
        <v>0.052</v>
      </c>
      <c r="N374" s="79" t="s">
        <v>448</v>
      </c>
      <c r="O374" s="82"/>
      <c r="P374" s="85"/>
    </row>
    <row r="375">
      <c r="A375" s="94"/>
      <c r="B375" s="96"/>
      <c r="C375" s="159" t="s">
        <v>615</v>
      </c>
      <c r="D375" s="126">
        <v>8.0</v>
      </c>
      <c r="E375" s="60">
        <v>6.0</v>
      </c>
      <c r="F375" s="98">
        <f t="shared" si="11"/>
        <v>2.495851589</v>
      </c>
      <c r="G375" s="68">
        <f t="shared" si="2"/>
        <v>4.28368</v>
      </c>
      <c r="H375" s="68">
        <f t="shared" si="3"/>
        <v>1.71632</v>
      </c>
      <c r="I375" s="72">
        <f t="shared" si="73"/>
        <v>1.36</v>
      </c>
      <c r="J375" s="73"/>
      <c r="K375" s="74"/>
      <c r="L375" s="75">
        <v>0.21</v>
      </c>
      <c r="M375" s="127">
        <v>0.052</v>
      </c>
      <c r="N375" s="79" t="s">
        <v>448</v>
      </c>
      <c r="O375" s="82"/>
      <c r="P375" s="85"/>
    </row>
    <row r="376">
      <c r="A376" s="94" t="s">
        <v>598</v>
      </c>
      <c r="B376" s="96" t="s">
        <v>831</v>
      </c>
      <c r="C376" s="58" t="s">
        <v>837</v>
      </c>
      <c r="D376" s="310">
        <v>70.0</v>
      </c>
      <c r="E376" s="60">
        <v>25.0</v>
      </c>
      <c r="F376" s="98">
        <f t="shared" si="11"/>
        <v>0.3960412737</v>
      </c>
      <c r="G376" s="68">
        <f t="shared" si="2"/>
        <v>7.09222</v>
      </c>
      <c r="H376" s="68">
        <f t="shared" si="3"/>
        <v>17.90778</v>
      </c>
      <c r="I376" s="200">
        <v>14.19</v>
      </c>
      <c r="J376" s="73">
        <v>1.0</v>
      </c>
      <c r="K376" s="74"/>
      <c r="L376" s="75">
        <v>0.21</v>
      </c>
      <c r="M376" s="127">
        <v>0.052</v>
      </c>
      <c r="N376" s="79" t="s">
        <v>448</v>
      </c>
      <c r="O376" s="82"/>
      <c r="P376" s="85"/>
    </row>
    <row r="377">
      <c r="A377" s="94"/>
      <c r="B377" s="96"/>
      <c r="C377" s="159" t="s">
        <v>608</v>
      </c>
      <c r="D377" s="126">
        <v>4.0</v>
      </c>
      <c r="E377" s="60">
        <v>2.0</v>
      </c>
      <c r="F377" s="98">
        <f t="shared" si="11"/>
        <v>0.9544577832</v>
      </c>
      <c r="G377" s="68">
        <f t="shared" si="2"/>
        <v>0.9766982857</v>
      </c>
      <c r="H377" s="68">
        <f t="shared" si="3"/>
        <v>1.023301714</v>
      </c>
      <c r="I377" s="72">
        <f t="shared" ref="I377:I379" si="74">($I$376*D377)/$D$376</f>
        <v>0.8108571429</v>
      </c>
      <c r="J377" s="73"/>
      <c r="K377" s="74"/>
      <c r="L377" s="75">
        <v>0.21</v>
      </c>
      <c r="M377" s="127">
        <v>0.052</v>
      </c>
      <c r="N377" s="79" t="s">
        <v>448</v>
      </c>
      <c r="O377" s="82"/>
      <c r="P377" s="85"/>
    </row>
    <row r="378">
      <c r="A378" s="94"/>
      <c r="B378" s="96"/>
      <c r="C378" s="159" t="s">
        <v>515</v>
      </c>
      <c r="D378" s="126">
        <v>8.0</v>
      </c>
      <c r="E378" s="60">
        <v>4.0</v>
      </c>
      <c r="F378" s="98">
        <f t="shared" si="11"/>
        <v>0.9544577832</v>
      </c>
      <c r="G378" s="68">
        <f t="shared" si="2"/>
        <v>1.953396571</v>
      </c>
      <c r="H378" s="68">
        <f t="shared" si="3"/>
        <v>2.046603429</v>
      </c>
      <c r="I378" s="72">
        <f t="shared" si="74"/>
        <v>1.621714286</v>
      </c>
      <c r="J378" s="73"/>
      <c r="K378" s="74"/>
      <c r="L378" s="75">
        <v>0.21</v>
      </c>
      <c r="M378" s="127">
        <v>0.052</v>
      </c>
      <c r="N378" s="79" t="s">
        <v>448</v>
      </c>
      <c r="O378" s="82"/>
      <c r="P378" s="85"/>
    </row>
    <row r="379">
      <c r="A379" s="94"/>
      <c r="B379" s="96"/>
      <c r="C379" s="159" t="s">
        <v>615</v>
      </c>
      <c r="D379" s="126">
        <v>8.0</v>
      </c>
      <c r="E379" s="60">
        <v>6.0</v>
      </c>
      <c r="F379" s="98">
        <f t="shared" si="11"/>
        <v>1.931686675</v>
      </c>
      <c r="G379" s="68">
        <f t="shared" si="2"/>
        <v>3.953396571</v>
      </c>
      <c r="H379" s="68">
        <f t="shared" si="3"/>
        <v>2.046603429</v>
      </c>
      <c r="I379" s="72">
        <f t="shared" si="74"/>
        <v>1.621714286</v>
      </c>
      <c r="J379" s="73"/>
      <c r="K379" s="74"/>
      <c r="L379" s="75">
        <v>0.21</v>
      </c>
      <c r="M379" s="127">
        <v>0.052</v>
      </c>
      <c r="N379" s="79" t="s">
        <v>448</v>
      </c>
      <c r="O379" s="82"/>
      <c r="P379" s="85"/>
    </row>
    <row r="380">
      <c r="A380" s="94" t="s">
        <v>598</v>
      </c>
      <c r="B380" s="96" t="s">
        <v>831</v>
      </c>
      <c r="C380" s="58" t="s">
        <v>838</v>
      </c>
      <c r="D380" s="310">
        <v>70.0</v>
      </c>
      <c r="E380" s="60">
        <v>25.0</v>
      </c>
      <c r="F380" s="98">
        <f t="shared" si="11"/>
        <v>0.5250058255</v>
      </c>
      <c r="G380" s="68">
        <f t="shared" si="2"/>
        <v>8.60662</v>
      </c>
      <c r="H380" s="68">
        <f t="shared" si="3"/>
        <v>16.39338</v>
      </c>
      <c r="I380" s="200">
        <v>12.99</v>
      </c>
      <c r="J380" s="73">
        <v>1.0</v>
      </c>
      <c r="K380" s="74"/>
      <c r="L380" s="75">
        <v>0.21</v>
      </c>
      <c r="M380" s="127">
        <v>0.052</v>
      </c>
      <c r="N380" s="79" t="s">
        <v>448</v>
      </c>
      <c r="O380" s="82"/>
      <c r="P380" s="85" t="s">
        <v>839</v>
      </c>
    </row>
    <row r="381">
      <c r="A381" s="94"/>
      <c r="B381" s="96"/>
      <c r="C381" s="159" t="s">
        <v>608</v>
      </c>
      <c r="D381" s="126">
        <v>4.0</v>
      </c>
      <c r="E381" s="60">
        <v>1.5</v>
      </c>
      <c r="F381" s="98">
        <f t="shared" si="11"/>
        <v>0.6012561168</v>
      </c>
      <c r="G381" s="68">
        <f t="shared" si="2"/>
        <v>0.5632354286</v>
      </c>
      <c r="H381" s="68">
        <f t="shared" si="3"/>
        <v>0.9367645714</v>
      </c>
      <c r="I381" s="72">
        <f t="shared" ref="I381:I383" si="75">($I$380*D381)/$D$380</f>
        <v>0.7422857143</v>
      </c>
      <c r="J381" s="73"/>
      <c r="K381" s="74"/>
      <c r="L381" s="75">
        <v>0.21</v>
      </c>
      <c r="M381" s="127">
        <v>0.052</v>
      </c>
      <c r="N381" s="79" t="s">
        <v>448</v>
      </c>
      <c r="O381" s="82"/>
      <c r="P381" s="85"/>
    </row>
    <row r="382">
      <c r="A382" s="94"/>
      <c r="B382" s="96"/>
      <c r="C382" s="159" t="s">
        <v>515</v>
      </c>
      <c r="D382" s="126">
        <v>8.0</v>
      </c>
      <c r="E382" s="60">
        <v>2.0</v>
      </c>
      <c r="F382" s="98">
        <f t="shared" si="11"/>
        <v>0.06750407787</v>
      </c>
      <c r="G382" s="68">
        <f t="shared" si="2"/>
        <v>0.1264708571</v>
      </c>
      <c r="H382" s="68">
        <f t="shared" si="3"/>
        <v>1.873529143</v>
      </c>
      <c r="I382" s="72">
        <f t="shared" si="75"/>
        <v>1.484571429</v>
      </c>
      <c r="J382" s="73"/>
      <c r="K382" s="74"/>
      <c r="L382" s="75">
        <v>0.21</v>
      </c>
      <c r="M382" s="127">
        <v>0.052</v>
      </c>
      <c r="N382" s="79" t="s">
        <v>448</v>
      </c>
      <c r="O382" s="82"/>
      <c r="P382" s="85"/>
    </row>
    <row r="383">
      <c r="A383" s="94"/>
      <c r="B383" s="96"/>
      <c r="C383" s="159" t="s">
        <v>615</v>
      </c>
      <c r="D383" s="126">
        <v>8.0</v>
      </c>
      <c r="E383" s="60">
        <v>3.5</v>
      </c>
      <c r="F383" s="98">
        <f t="shared" si="11"/>
        <v>0.8681321363</v>
      </c>
      <c r="G383" s="68">
        <f t="shared" si="2"/>
        <v>1.626470857</v>
      </c>
      <c r="H383" s="68">
        <f t="shared" si="3"/>
        <v>1.873529143</v>
      </c>
      <c r="I383" s="72">
        <f t="shared" si="75"/>
        <v>1.484571429</v>
      </c>
      <c r="J383" s="73"/>
      <c r="K383" s="74"/>
      <c r="L383" s="75">
        <v>0.21</v>
      </c>
      <c r="M383" s="127">
        <v>0.052</v>
      </c>
      <c r="N383" s="79" t="s">
        <v>448</v>
      </c>
      <c r="O383" s="82"/>
      <c r="P383" s="85"/>
    </row>
    <row r="384">
      <c r="A384" s="160" t="s">
        <v>598</v>
      </c>
      <c r="B384" s="161" t="s">
        <v>831</v>
      </c>
      <c r="C384" s="202" t="s">
        <v>840</v>
      </c>
      <c r="D384" s="339">
        <v>100.0</v>
      </c>
      <c r="E384" s="164">
        <v>20.0</v>
      </c>
      <c r="F384" s="165">
        <f t="shared" si="11"/>
        <v>0.5026296018</v>
      </c>
      <c r="G384" s="166">
        <f t="shared" si="2"/>
        <v>6.69</v>
      </c>
      <c r="H384" s="166">
        <f t="shared" si="3"/>
        <v>13.31</v>
      </c>
      <c r="I384" s="340">
        <v>11.0</v>
      </c>
      <c r="J384" s="341"/>
      <c r="K384" s="169"/>
      <c r="L384" s="170">
        <v>0.21</v>
      </c>
      <c r="M384" s="171">
        <v>0.0</v>
      </c>
      <c r="N384" s="318" t="s">
        <v>651</v>
      </c>
      <c r="O384" s="82"/>
      <c r="P384" s="190"/>
    </row>
    <row r="385">
      <c r="A385" s="307"/>
      <c r="B385" s="308"/>
      <c r="C385" s="263" t="s">
        <v>608</v>
      </c>
      <c r="D385" s="265">
        <v>4.0</v>
      </c>
      <c r="E385" s="267">
        <v>1.0</v>
      </c>
      <c r="F385" s="270">
        <f t="shared" si="11"/>
        <v>0.8782870023</v>
      </c>
      <c r="G385" s="272">
        <f t="shared" si="2"/>
        <v>0.4676</v>
      </c>
      <c r="H385" s="272">
        <f t="shared" si="3"/>
        <v>0.5324</v>
      </c>
      <c r="I385" s="276">
        <f t="shared" ref="I385:I387" si="76">($I$384*D385)/$D$384</f>
        <v>0.44</v>
      </c>
      <c r="J385" s="278"/>
      <c r="K385" s="279"/>
      <c r="L385" s="281">
        <v>0.21</v>
      </c>
      <c r="M385" s="304">
        <v>0.0</v>
      </c>
      <c r="N385" s="286" t="s">
        <v>651</v>
      </c>
      <c r="O385" s="90"/>
      <c r="P385" s="288"/>
    </row>
    <row r="386">
      <c r="A386" s="307"/>
      <c r="B386" s="308"/>
      <c r="C386" s="263" t="s">
        <v>515</v>
      </c>
      <c r="D386" s="265">
        <v>8.0</v>
      </c>
      <c r="E386" s="267">
        <v>1.5</v>
      </c>
      <c r="F386" s="270">
        <f t="shared" si="11"/>
        <v>0.4087152517</v>
      </c>
      <c r="G386" s="272">
        <f t="shared" si="2"/>
        <v>0.4352</v>
      </c>
      <c r="H386" s="272">
        <f t="shared" si="3"/>
        <v>1.0648</v>
      </c>
      <c r="I386" s="276">
        <f t="shared" si="76"/>
        <v>0.88</v>
      </c>
      <c r="J386" s="278"/>
      <c r="K386" s="279"/>
      <c r="L386" s="281">
        <v>0.21</v>
      </c>
      <c r="M386" s="304">
        <v>0.0</v>
      </c>
      <c r="N386" s="286" t="s">
        <v>651</v>
      </c>
      <c r="O386" s="90"/>
      <c r="P386" s="288"/>
    </row>
    <row r="387">
      <c r="A387" s="307"/>
      <c r="B387" s="308"/>
      <c r="C387" s="263" t="s">
        <v>615</v>
      </c>
      <c r="D387" s="265">
        <v>8.0</v>
      </c>
      <c r="E387" s="267">
        <v>3.5</v>
      </c>
      <c r="F387" s="270">
        <f t="shared" si="11"/>
        <v>2.287002254</v>
      </c>
      <c r="G387" s="272">
        <f t="shared" si="2"/>
        <v>2.4352</v>
      </c>
      <c r="H387" s="272">
        <f t="shared" si="3"/>
        <v>1.0648</v>
      </c>
      <c r="I387" s="276">
        <f t="shared" si="76"/>
        <v>0.88</v>
      </c>
      <c r="J387" s="278"/>
      <c r="K387" s="279"/>
      <c r="L387" s="281">
        <v>0.21</v>
      </c>
      <c r="M387" s="304">
        <v>0.0</v>
      </c>
      <c r="N387" s="286" t="s">
        <v>651</v>
      </c>
      <c r="O387" s="90"/>
      <c r="P387" s="288"/>
    </row>
    <row r="388">
      <c r="A388" s="94" t="s">
        <v>598</v>
      </c>
      <c r="B388" s="96" t="s">
        <v>831</v>
      </c>
      <c r="C388" s="58" t="s">
        <v>840</v>
      </c>
      <c r="D388" s="310">
        <v>70.0</v>
      </c>
      <c r="E388" s="60">
        <v>20.0</v>
      </c>
      <c r="F388" s="98">
        <f t="shared" si="11"/>
        <v>0.7132822204</v>
      </c>
      <c r="G388" s="68">
        <f t="shared" si="2"/>
        <v>8.3265</v>
      </c>
      <c r="H388" s="68">
        <f t="shared" si="3"/>
        <v>11.6735</v>
      </c>
      <c r="I388" s="200">
        <v>9.25</v>
      </c>
      <c r="J388" s="73">
        <v>1.0</v>
      </c>
      <c r="K388" s="74"/>
      <c r="L388" s="75">
        <v>0.21</v>
      </c>
      <c r="M388" s="127">
        <v>0.052</v>
      </c>
      <c r="N388" s="79" t="s">
        <v>152</v>
      </c>
      <c r="O388" s="82"/>
      <c r="P388" s="85"/>
    </row>
    <row r="389">
      <c r="A389" s="94"/>
      <c r="B389" s="96"/>
      <c r="C389" s="159" t="s">
        <v>608</v>
      </c>
      <c r="D389" s="126">
        <v>4.0</v>
      </c>
      <c r="E389" s="60">
        <v>1.0</v>
      </c>
      <c r="F389" s="98">
        <f t="shared" si="11"/>
        <v>0.4991219429</v>
      </c>
      <c r="G389" s="68">
        <f t="shared" si="2"/>
        <v>0.3329428571</v>
      </c>
      <c r="H389" s="68">
        <f t="shared" si="3"/>
        <v>0.6670571429</v>
      </c>
      <c r="I389" s="72">
        <f t="shared" ref="I389:I391" si="77">($I$388*D389)/$D$388</f>
        <v>0.5285714286</v>
      </c>
      <c r="J389" s="73"/>
      <c r="K389" s="74"/>
      <c r="L389" s="75">
        <v>0.21</v>
      </c>
      <c r="M389" s="127">
        <v>0.052</v>
      </c>
      <c r="N389" s="79" t="s">
        <v>152</v>
      </c>
      <c r="O389" s="82"/>
      <c r="P389" s="85"/>
    </row>
    <row r="390">
      <c r="A390" s="94"/>
      <c r="B390" s="96"/>
      <c r="C390" s="159" t="s">
        <v>515</v>
      </c>
      <c r="D390" s="126">
        <v>8.0</v>
      </c>
      <c r="E390" s="60">
        <v>1.5</v>
      </c>
      <c r="F390" s="98">
        <f t="shared" si="11"/>
        <v>0.1243414571</v>
      </c>
      <c r="G390" s="68">
        <f t="shared" si="2"/>
        <v>0.1658857143</v>
      </c>
      <c r="H390" s="68">
        <f t="shared" si="3"/>
        <v>1.334114286</v>
      </c>
      <c r="I390" s="72">
        <f t="shared" si="77"/>
        <v>1.057142857</v>
      </c>
      <c r="J390" s="73"/>
      <c r="K390" s="74"/>
      <c r="L390" s="75">
        <v>0.21</v>
      </c>
      <c r="M390" s="127">
        <v>0.052</v>
      </c>
      <c r="N390" s="79" t="s">
        <v>152</v>
      </c>
      <c r="O390" s="82"/>
      <c r="P390" s="85"/>
    </row>
    <row r="391">
      <c r="A391" s="94"/>
      <c r="B391" s="96"/>
      <c r="C391" s="159" t="s">
        <v>615</v>
      </c>
      <c r="D391" s="126">
        <v>8.0</v>
      </c>
      <c r="E391" s="60">
        <v>3.5</v>
      </c>
      <c r="F391" s="98">
        <f t="shared" si="11"/>
        <v>1.6234634</v>
      </c>
      <c r="G391" s="68">
        <f t="shared" si="2"/>
        <v>2.165885714</v>
      </c>
      <c r="H391" s="68">
        <f t="shared" si="3"/>
        <v>1.334114286</v>
      </c>
      <c r="I391" s="72">
        <f t="shared" si="77"/>
        <v>1.057142857</v>
      </c>
      <c r="J391" s="73"/>
      <c r="K391" s="74"/>
      <c r="L391" s="75">
        <v>0.21</v>
      </c>
      <c r="M391" s="127">
        <v>0.052</v>
      </c>
      <c r="N391" s="79" t="s">
        <v>152</v>
      </c>
      <c r="O391" s="82"/>
      <c r="P391" s="85"/>
    </row>
    <row r="392">
      <c r="A392" s="94" t="s">
        <v>598</v>
      </c>
      <c r="B392" s="96" t="s">
        <v>834</v>
      </c>
      <c r="C392" s="58" t="s">
        <v>841</v>
      </c>
      <c r="D392" s="310">
        <v>70.0</v>
      </c>
      <c r="E392" s="60">
        <v>22.0</v>
      </c>
      <c r="F392" s="98">
        <f t="shared" si="11"/>
        <v>0.8350154308</v>
      </c>
      <c r="G392" s="68">
        <f t="shared" si="2"/>
        <v>10.011</v>
      </c>
      <c r="H392" s="68">
        <f t="shared" si="3"/>
        <v>11.989</v>
      </c>
      <c r="I392" s="200">
        <v>9.5</v>
      </c>
      <c r="J392" s="73">
        <v>1.0</v>
      </c>
      <c r="K392" s="74"/>
      <c r="L392" s="75">
        <v>0.21</v>
      </c>
      <c r="M392" s="127">
        <v>0.052</v>
      </c>
      <c r="N392" s="79" t="s">
        <v>152</v>
      </c>
      <c r="O392" s="82"/>
      <c r="P392" s="85"/>
    </row>
    <row r="393">
      <c r="A393" s="94"/>
      <c r="B393" s="96"/>
      <c r="C393" s="159" t="s">
        <v>608</v>
      </c>
      <c r="D393" s="126">
        <v>4.0</v>
      </c>
      <c r="E393" s="60">
        <v>1.0</v>
      </c>
      <c r="F393" s="98">
        <f t="shared" si="11"/>
        <v>0.4596713654</v>
      </c>
      <c r="G393" s="68">
        <f t="shared" si="2"/>
        <v>0.3149142857</v>
      </c>
      <c r="H393" s="68">
        <f t="shared" si="3"/>
        <v>0.6850857143</v>
      </c>
      <c r="I393" s="72">
        <f t="shared" ref="I393:I395" si="78">($I$392*D393)/$D$392</f>
        <v>0.5428571429</v>
      </c>
      <c r="J393" s="73"/>
      <c r="K393" s="74"/>
      <c r="L393" s="75">
        <v>0.21</v>
      </c>
      <c r="M393" s="127">
        <v>0.052</v>
      </c>
      <c r="N393" s="79" t="s">
        <v>152</v>
      </c>
      <c r="O393" s="82"/>
      <c r="P393" s="85"/>
    </row>
    <row r="394">
      <c r="A394" s="94"/>
      <c r="B394" s="96"/>
      <c r="C394" s="159" t="s">
        <v>515</v>
      </c>
      <c r="D394" s="126">
        <v>8.0</v>
      </c>
      <c r="E394" s="60">
        <v>2.0</v>
      </c>
      <c r="F394" s="98">
        <f t="shared" si="11"/>
        <v>0.4596713654</v>
      </c>
      <c r="G394" s="68">
        <f t="shared" si="2"/>
        <v>0.6298285714</v>
      </c>
      <c r="H394" s="68">
        <f t="shared" si="3"/>
        <v>1.370171429</v>
      </c>
      <c r="I394" s="72">
        <f t="shared" si="78"/>
        <v>1.085714286</v>
      </c>
      <c r="J394" s="73"/>
      <c r="K394" s="74"/>
      <c r="L394" s="75">
        <v>0.21</v>
      </c>
      <c r="M394" s="127">
        <v>0.052</v>
      </c>
      <c r="N394" s="79" t="s">
        <v>152</v>
      </c>
      <c r="O394" s="82"/>
      <c r="P394" s="85"/>
    </row>
    <row r="395">
      <c r="A395" s="94"/>
      <c r="B395" s="96"/>
      <c r="C395" s="159" t="s">
        <v>615</v>
      </c>
      <c r="D395" s="126">
        <v>8.0</v>
      </c>
      <c r="E395" s="60">
        <v>3.5</v>
      </c>
      <c r="F395" s="98">
        <f t="shared" si="11"/>
        <v>1.554424889</v>
      </c>
      <c r="G395" s="68">
        <f t="shared" si="2"/>
        <v>2.129828571</v>
      </c>
      <c r="H395" s="68">
        <f t="shared" si="3"/>
        <v>1.370171429</v>
      </c>
      <c r="I395" s="72">
        <f t="shared" si="78"/>
        <v>1.085714286</v>
      </c>
      <c r="J395" s="73"/>
      <c r="K395" s="74"/>
      <c r="L395" s="75">
        <v>0.21</v>
      </c>
      <c r="M395" s="127">
        <v>0.052</v>
      </c>
      <c r="N395" s="79" t="s">
        <v>152</v>
      </c>
      <c r="O395" s="82"/>
      <c r="P395" s="85"/>
    </row>
    <row r="396">
      <c r="A396" s="94" t="s">
        <v>598</v>
      </c>
      <c r="B396" s="96" t="s">
        <v>831</v>
      </c>
      <c r="C396" s="58" t="s">
        <v>842</v>
      </c>
      <c r="D396" s="310">
        <v>70.0</v>
      </c>
      <c r="E396" s="60">
        <v>15.0</v>
      </c>
      <c r="F396" s="98">
        <f t="shared" si="11"/>
        <v>0.3774104683</v>
      </c>
      <c r="G396" s="68">
        <f t="shared" si="2"/>
        <v>4.11</v>
      </c>
      <c r="H396" s="68">
        <f t="shared" si="3"/>
        <v>10.89</v>
      </c>
      <c r="I396" s="200">
        <v>9.0</v>
      </c>
      <c r="J396" s="73"/>
      <c r="K396" s="74"/>
      <c r="L396" s="75">
        <v>0.21</v>
      </c>
      <c r="M396" s="76">
        <v>0.0</v>
      </c>
      <c r="N396" s="79" t="s">
        <v>651</v>
      </c>
      <c r="O396" s="82"/>
      <c r="P396" s="85"/>
    </row>
    <row r="397">
      <c r="A397" s="94"/>
      <c r="B397" s="96"/>
      <c r="C397" s="159" t="s">
        <v>608</v>
      </c>
      <c r="D397" s="126">
        <v>4.0</v>
      </c>
      <c r="E397" s="60">
        <v>1.0</v>
      </c>
      <c r="F397" s="98">
        <f t="shared" si="11"/>
        <v>0.6069788797</v>
      </c>
      <c r="G397" s="68">
        <f t="shared" si="2"/>
        <v>0.3777142857</v>
      </c>
      <c r="H397" s="68">
        <f t="shared" si="3"/>
        <v>0.6222857143</v>
      </c>
      <c r="I397" s="72">
        <f t="shared" ref="I397:I399" si="79">($I$396*D397)/$D$396</f>
        <v>0.5142857143</v>
      </c>
      <c r="J397" s="73"/>
      <c r="K397" s="74"/>
      <c r="L397" s="75">
        <v>0.21</v>
      </c>
      <c r="M397" s="76">
        <v>0.0</v>
      </c>
      <c r="N397" s="79" t="s">
        <v>651</v>
      </c>
      <c r="O397" s="82"/>
      <c r="P397" s="85"/>
    </row>
    <row r="398">
      <c r="A398" s="94"/>
      <c r="B398" s="96"/>
      <c r="C398" s="159" t="s">
        <v>515</v>
      </c>
      <c r="D398" s="126">
        <v>8.0</v>
      </c>
      <c r="E398" s="60">
        <v>2.0</v>
      </c>
      <c r="F398" s="98">
        <f t="shared" si="11"/>
        <v>0.6069788797</v>
      </c>
      <c r="G398" s="68">
        <f t="shared" si="2"/>
        <v>0.7554285714</v>
      </c>
      <c r="H398" s="68">
        <f t="shared" si="3"/>
        <v>1.244571429</v>
      </c>
      <c r="I398" s="72">
        <f t="shared" si="79"/>
        <v>1.028571429</v>
      </c>
      <c r="J398" s="73"/>
      <c r="K398" s="74"/>
      <c r="L398" s="75">
        <v>0.21</v>
      </c>
      <c r="M398" s="76">
        <v>0.0</v>
      </c>
      <c r="N398" s="79" t="s">
        <v>651</v>
      </c>
      <c r="O398" s="82"/>
      <c r="P398" s="85"/>
    </row>
    <row r="399">
      <c r="A399" s="112"/>
      <c r="B399" s="113"/>
      <c r="C399" s="239" t="s">
        <v>615</v>
      </c>
      <c r="D399" s="115">
        <v>8.0</v>
      </c>
      <c r="E399" s="116">
        <v>3.5</v>
      </c>
      <c r="F399" s="179">
        <f t="shared" si="11"/>
        <v>1.812213039</v>
      </c>
      <c r="G399" s="117">
        <f t="shared" si="2"/>
        <v>2.255428571</v>
      </c>
      <c r="H399" s="117">
        <f t="shared" si="3"/>
        <v>1.244571429</v>
      </c>
      <c r="I399" s="118">
        <f t="shared" si="79"/>
        <v>1.028571429</v>
      </c>
      <c r="J399" s="119"/>
      <c r="K399" s="108"/>
      <c r="L399" s="120">
        <v>0.21</v>
      </c>
      <c r="M399" s="157">
        <v>0.0</v>
      </c>
      <c r="N399" s="122" t="s">
        <v>651</v>
      </c>
      <c r="O399" s="123"/>
      <c r="P399" s="125"/>
    </row>
  </sheetData>
  <mergeCells count="406">
    <mergeCell ref="N393:O393"/>
    <mergeCell ref="N394:O394"/>
    <mergeCell ref="N395:O395"/>
    <mergeCell ref="N396:O396"/>
    <mergeCell ref="N397:O397"/>
    <mergeCell ref="N398:O398"/>
    <mergeCell ref="N399:O399"/>
    <mergeCell ref="N386:O386"/>
    <mergeCell ref="N387:O387"/>
    <mergeCell ref="N388:O388"/>
    <mergeCell ref="N389:O389"/>
    <mergeCell ref="N390:O390"/>
    <mergeCell ref="N391:O391"/>
    <mergeCell ref="N392:O392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A1:B3"/>
    <mergeCell ref="C1:D3"/>
    <mergeCell ref="N1:O1"/>
    <mergeCell ref="G2:G3"/>
    <mergeCell ref="J2:J3"/>
    <mergeCell ref="L2:L3"/>
    <mergeCell ref="M2:M3"/>
    <mergeCell ref="A5:B5"/>
    <mergeCell ref="D5:D6"/>
    <mergeCell ref="E5:E6"/>
    <mergeCell ref="F5:G5"/>
    <mergeCell ref="L5:L6"/>
    <mergeCell ref="N5:O6"/>
    <mergeCell ref="P5:P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</mergeCells>
  <conditionalFormatting sqref="F7:F399">
    <cfRule type="cellIs" dxfId="0" priority="1" operator="lessThan">
      <formula>0</formula>
    </cfRule>
  </conditionalFormatting>
  <dataValidations>
    <dataValidation type="list" allowBlank="1" sqref="M2 M7:M399">
      <formula1>'Begudes - La Parròquia'!$F$2:$F$4</formula1>
    </dataValidation>
    <dataValidation type="list" allowBlank="1" sqref="L2 P2 L7:L399">
      <formula1>'Begudes - La Parròquia'!$E$2:$E$3</formula1>
    </dataValidation>
  </dataValidations>
  <hyperlinks>
    <hyperlink r:id="rId4" ref="N137"/>
    <hyperlink r:id="rId5" ref="N145"/>
  </hyperlinks>
  <printOptions horizontalCentered="1"/>
  <pageMargins bottom="0.19685039370078738" footer="0.0" header="0.0" left="0.6" right="0.6" top="0.5905511811023622"/>
  <pageSetup paperSize="9" scale="50" orientation="portrait" pageOrder="overThenDown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6.38"/>
    <col customWidth="1" min="4" max="4" width="7.63"/>
    <col customWidth="1" min="5" max="5" width="5.88" outlineLevel="1"/>
    <col customWidth="1" min="6" max="8" width="7.63" outlineLevel="1"/>
    <col customWidth="1" min="9" max="10" width="6.38" outlineLevel="1"/>
    <col customWidth="1" min="11" max="12" width="7.63" outlineLevel="1"/>
    <col customWidth="1" min="13" max="14" width="8.88" outlineLevel="1"/>
    <col customWidth="1" min="15" max="15" width="16.38" outlineLevel="1"/>
  </cols>
  <sheetData>
    <row r="1" outlineLevel="1">
      <c r="A1" s="1"/>
      <c r="C1" s="2" t="s">
        <v>6</v>
      </c>
      <c r="D1" s="3"/>
      <c r="E1" s="3" t="s">
        <v>1</v>
      </c>
      <c r="F1" s="4" t="s">
        <v>2</v>
      </c>
      <c r="G1" s="4" t="s">
        <v>3</v>
      </c>
      <c r="H1" s="5" t="s">
        <v>4</v>
      </c>
      <c r="I1" s="4" t="s">
        <v>5</v>
      </c>
      <c r="J1" s="4" t="s">
        <v>7</v>
      </c>
      <c r="K1" s="4" t="s">
        <v>8</v>
      </c>
      <c r="L1" s="4" t="s">
        <v>9</v>
      </c>
      <c r="M1" s="6" t="s">
        <v>10</v>
      </c>
      <c r="O1" s="4" t="s">
        <v>8</v>
      </c>
    </row>
    <row r="2" outlineLevel="1">
      <c r="D2" s="7">
        <v>0.21</v>
      </c>
      <c r="E2" s="7">
        <v>0.052</v>
      </c>
      <c r="F2" s="8">
        <v>1.0</v>
      </c>
      <c r="G2" s="10">
        <f>H2+(H2*K2)+(H2*L2)</f>
        <v>1.21</v>
      </c>
      <c r="H2" s="11">
        <v>1.0</v>
      </c>
      <c r="I2" s="12">
        <v>1.0</v>
      </c>
      <c r="J2" s="13">
        <f>F2*I2*H2</f>
        <v>1</v>
      </c>
      <c r="K2" s="15">
        <v>0.21</v>
      </c>
      <c r="L2" s="16">
        <v>0.0</v>
      </c>
      <c r="M2" s="17" t="s">
        <v>12</v>
      </c>
      <c r="N2" s="18">
        <v>1.21</v>
      </c>
      <c r="O2" s="19">
        <v>0.21</v>
      </c>
    </row>
    <row r="3" ht="15.75" customHeight="1" outlineLevel="1">
      <c r="A3" s="20"/>
      <c r="B3" s="20"/>
      <c r="C3" s="20"/>
      <c r="D3" s="7">
        <v>0.1</v>
      </c>
      <c r="E3" s="7">
        <v>0.014</v>
      </c>
      <c r="F3" s="21"/>
      <c r="G3" s="10">
        <f>H3+(H3*K2)+(H3*L2)</f>
        <v>1.4641</v>
      </c>
      <c r="H3" s="22">
        <f>J3/(F2*I2)</f>
        <v>1.21</v>
      </c>
      <c r="I3" s="23"/>
      <c r="J3" s="24">
        <v>1.21</v>
      </c>
      <c r="K3" s="25"/>
      <c r="L3" s="26"/>
      <c r="M3" s="28" t="s">
        <v>4</v>
      </c>
      <c r="N3" s="29">
        <f>N2/D4</f>
        <v>1</v>
      </c>
      <c r="O3" s="31">
        <f>N3</f>
        <v>1</v>
      </c>
    </row>
    <row r="4" ht="5.25" customHeight="1" outlineLevel="1">
      <c r="A4" s="32"/>
      <c r="B4" s="32"/>
      <c r="C4" s="34"/>
      <c r="D4" s="35">
        <f>IFS($O$2=21%,1.21,$O$2=10%,1.1)</f>
        <v>1.21</v>
      </c>
      <c r="E4" s="35">
        <v>0.0</v>
      </c>
      <c r="F4" s="36"/>
      <c r="G4" s="36"/>
      <c r="H4" s="36"/>
      <c r="I4" s="36"/>
      <c r="J4" s="36"/>
      <c r="K4" s="36"/>
      <c r="L4" s="36"/>
      <c r="M4" s="36"/>
      <c r="N4" s="36"/>
      <c r="O4" s="36"/>
    </row>
    <row r="5">
      <c r="A5" s="37" t="s">
        <v>13</v>
      </c>
      <c r="B5" s="38"/>
      <c r="C5" s="39" t="s">
        <v>6</v>
      </c>
      <c r="D5" s="40" t="s">
        <v>12</v>
      </c>
      <c r="E5" s="42" t="s">
        <v>15</v>
      </c>
      <c r="F5" s="43"/>
      <c r="G5" s="44" t="s">
        <v>16</v>
      </c>
      <c r="H5" s="45" t="s">
        <v>17</v>
      </c>
      <c r="I5" s="46" t="s">
        <v>18</v>
      </c>
      <c r="J5" s="41" t="s">
        <v>19</v>
      </c>
      <c r="K5" s="47" t="s">
        <v>8</v>
      </c>
      <c r="L5" s="48" t="s">
        <v>20</v>
      </c>
      <c r="M5" s="47" t="s">
        <v>21</v>
      </c>
      <c r="N5" s="49"/>
      <c r="O5" s="47" t="s">
        <v>22</v>
      </c>
    </row>
    <row r="6">
      <c r="A6" s="41" t="s">
        <v>23</v>
      </c>
      <c r="B6" s="41" t="s">
        <v>24</v>
      </c>
      <c r="C6" s="41" t="s">
        <v>26</v>
      </c>
      <c r="D6" s="51"/>
      <c r="E6" s="52" t="s">
        <v>27</v>
      </c>
      <c r="F6" s="41" t="s">
        <v>28</v>
      </c>
      <c r="G6" s="44" t="s">
        <v>29</v>
      </c>
      <c r="H6" s="53" t="s">
        <v>30</v>
      </c>
      <c r="I6" s="46" t="s">
        <v>32</v>
      </c>
      <c r="J6" s="41" t="s">
        <v>32</v>
      </c>
      <c r="K6" s="54"/>
      <c r="L6" s="48" t="s">
        <v>9</v>
      </c>
      <c r="M6" s="54"/>
      <c r="N6" s="49"/>
      <c r="O6" s="54"/>
    </row>
    <row r="7">
      <c r="A7" s="55" t="s">
        <v>34</v>
      </c>
      <c r="B7" s="56" t="s">
        <v>36</v>
      </c>
      <c r="C7" s="58" t="s">
        <v>39</v>
      </c>
      <c r="D7" s="60">
        <v>5.0</v>
      </c>
      <c r="E7" s="66">
        <f t="shared" ref="E7:E188" si="1">IF(D7="","",F7/D7)</f>
        <v>-1.2</v>
      </c>
      <c r="F7" s="68">
        <f t="shared" ref="F7:F188" si="2">D7-G7</f>
        <v>-6</v>
      </c>
      <c r="G7" s="68">
        <f t="shared" ref="G7:G188" si="3">H7+(H7*K7)+(H7*L7)</f>
        <v>11</v>
      </c>
      <c r="H7" s="72">
        <f t="shared" ref="H7:H188" si="4">J7/I7</f>
        <v>10</v>
      </c>
      <c r="I7" s="73">
        <v>1.0</v>
      </c>
      <c r="J7" s="74">
        <v>10.0</v>
      </c>
      <c r="K7" s="75">
        <v>0.1</v>
      </c>
      <c r="L7" s="76">
        <v>0.0</v>
      </c>
      <c r="M7" s="79"/>
      <c r="N7" s="82"/>
      <c r="O7" s="85"/>
    </row>
    <row r="8">
      <c r="A8" s="55" t="s">
        <v>34</v>
      </c>
      <c r="B8" s="56" t="s">
        <v>36</v>
      </c>
      <c r="C8" s="58" t="s">
        <v>45</v>
      </c>
      <c r="D8" s="60">
        <v>6.0</v>
      </c>
      <c r="E8" s="66">
        <f t="shared" si="1"/>
        <v>1</v>
      </c>
      <c r="F8" s="68">
        <f t="shared" si="2"/>
        <v>6</v>
      </c>
      <c r="G8" s="68">
        <f t="shared" si="3"/>
        <v>0</v>
      </c>
      <c r="H8" s="72">
        <f t="shared" si="4"/>
        <v>0</v>
      </c>
      <c r="I8" s="73">
        <v>1.0</v>
      </c>
      <c r="J8" s="74"/>
      <c r="K8" s="75">
        <v>0.1</v>
      </c>
      <c r="L8" s="76">
        <v>0.0</v>
      </c>
      <c r="M8" s="79"/>
      <c r="N8" s="82"/>
      <c r="O8" s="85"/>
    </row>
    <row r="9">
      <c r="A9" s="94" t="s">
        <v>34</v>
      </c>
      <c r="B9" s="96" t="s">
        <v>36</v>
      </c>
      <c r="C9" s="58" t="s">
        <v>50</v>
      </c>
      <c r="D9" s="60">
        <v>4.0</v>
      </c>
      <c r="E9" s="98">
        <f t="shared" si="1"/>
        <v>1</v>
      </c>
      <c r="F9" s="68">
        <f t="shared" si="2"/>
        <v>4</v>
      </c>
      <c r="G9" s="68">
        <f t="shared" si="3"/>
        <v>0</v>
      </c>
      <c r="H9" s="72">
        <f t="shared" si="4"/>
        <v>0</v>
      </c>
      <c r="I9" s="73">
        <v>1.0</v>
      </c>
      <c r="J9" s="74"/>
      <c r="K9" s="75">
        <v>0.1</v>
      </c>
      <c r="L9" s="76">
        <v>0.0</v>
      </c>
      <c r="M9" s="79"/>
      <c r="N9" s="82"/>
      <c r="O9" s="85"/>
    </row>
    <row r="10">
      <c r="A10" s="55" t="s">
        <v>34</v>
      </c>
      <c r="B10" s="56" t="s">
        <v>36</v>
      </c>
      <c r="C10" s="58" t="s">
        <v>54</v>
      </c>
      <c r="D10" s="60">
        <v>9.0</v>
      </c>
      <c r="E10" s="66">
        <f t="shared" si="1"/>
        <v>1</v>
      </c>
      <c r="F10" s="68">
        <f t="shared" si="2"/>
        <v>9</v>
      </c>
      <c r="G10" s="68">
        <f t="shared" si="3"/>
        <v>0</v>
      </c>
      <c r="H10" s="72">
        <f t="shared" si="4"/>
        <v>0</v>
      </c>
      <c r="I10" s="73">
        <v>1.0</v>
      </c>
      <c r="J10" s="74"/>
      <c r="K10" s="75">
        <v>0.1</v>
      </c>
      <c r="L10" s="76">
        <v>0.0</v>
      </c>
      <c r="M10" s="79"/>
      <c r="N10" s="82"/>
      <c r="O10" s="85"/>
    </row>
    <row r="11">
      <c r="A11" s="55" t="s">
        <v>34</v>
      </c>
      <c r="B11" s="56" t="s">
        <v>36</v>
      </c>
      <c r="C11" s="58" t="s">
        <v>58</v>
      </c>
      <c r="D11" s="60">
        <v>9.0</v>
      </c>
      <c r="E11" s="66">
        <f t="shared" si="1"/>
        <v>1</v>
      </c>
      <c r="F11" s="68">
        <f t="shared" si="2"/>
        <v>9</v>
      </c>
      <c r="G11" s="68">
        <f t="shared" si="3"/>
        <v>0</v>
      </c>
      <c r="H11" s="72">
        <f t="shared" si="4"/>
        <v>0</v>
      </c>
      <c r="I11" s="73">
        <v>1.0</v>
      </c>
      <c r="J11" s="74"/>
      <c r="K11" s="75">
        <v>0.1</v>
      </c>
      <c r="L11" s="76">
        <v>0.0</v>
      </c>
      <c r="M11" s="79"/>
      <c r="N11" s="82"/>
      <c r="O11" s="85"/>
    </row>
    <row r="12">
      <c r="A12" s="55" t="s">
        <v>34</v>
      </c>
      <c r="B12" s="56" t="s">
        <v>36</v>
      </c>
      <c r="C12" s="58" t="s">
        <v>62</v>
      </c>
      <c r="D12" s="60">
        <v>20.0</v>
      </c>
      <c r="E12" s="66">
        <f t="shared" si="1"/>
        <v>1</v>
      </c>
      <c r="F12" s="68">
        <f t="shared" si="2"/>
        <v>20</v>
      </c>
      <c r="G12" s="68">
        <f t="shared" si="3"/>
        <v>0</v>
      </c>
      <c r="H12" s="72">
        <f t="shared" si="4"/>
        <v>0</v>
      </c>
      <c r="I12" s="73">
        <v>1.0</v>
      </c>
      <c r="J12" s="74"/>
      <c r="K12" s="75">
        <v>0.1</v>
      </c>
      <c r="L12" s="76">
        <v>0.0</v>
      </c>
      <c r="M12" s="79"/>
      <c r="N12" s="82"/>
      <c r="O12" s="85"/>
    </row>
    <row r="13">
      <c r="A13" s="55" t="s">
        <v>34</v>
      </c>
      <c r="B13" s="56" t="s">
        <v>36</v>
      </c>
      <c r="C13" s="58" t="s">
        <v>64</v>
      </c>
      <c r="D13" s="60">
        <v>7.0</v>
      </c>
      <c r="E13" s="66">
        <f t="shared" si="1"/>
        <v>1</v>
      </c>
      <c r="F13" s="68">
        <f t="shared" si="2"/>
        <v>7</v>
      </c>
      <c r="G13" s="68">
        <f t="shared" si="3"/>
        <v>0</v>
      </c>
      <c r="H13" s="72">
        <f t="shared" si="4"/>
        <v>0</v>
      </c>
      <c r="I13" s="73">
        <v>1.0</v>
      </c>
      <c r="J13" s="74"/>
      <c r="K13" s="75">
        <v>0.1</v>
      </c>
      <c r="L13" s="76">
        <v>0.0</v>
      </c>
      <c r="M13" s="79"/>
      <c r="N13" s="82"/>
      <c r="O13" s="85"/>
    </row>
    <row r="14">
      <c r="A14" s="55" t="s">
        <v>34</v>
      </c>
      <c r="B14" s="56" t="s">
        <v>36</v>
      </c>
      <c r="C14" s="58" t="s">
        <v>69</v>
      </c>
      <c r="D14" s="60">
        <v>5.0</v>
      </c>
      <c r="E14" s="66">
        <f t="shared" si="1"/>
        <v>1</v>
      </c>
      <c r="F14" s="68">
        <f t="shared" si="2"/>
        <v>5</v>
      </c>
      <c r="G14" s="68">
        <f t="shared" si="3"/>
        <v>0</v>
      </c>
      <c r="H14" s="72">
        <f t="shared" si="4"/>
        <v>0</v>
      </c>
      <c r="I14" s="73">
        <v>1.0</v>
      </c>
      <c r="J14" s="74"/>
      <c r="K14" s="75">
        <v>0.1</v>
      </c>
      <c r="L14" s="76">
        <v>0.0</v>
      </c>
      <c r="M14" s="79"/>
      <c r="N14" s="82"/>
      <c r="O14" s="85"/>
    </row>
    <row r="15" hidden="1" outlineLevel="1">
      <c r="A15" s="55" t="s">
        <v>34</v>
      </c>
      <c r="B15" s="56" t="s">
        <v>36</v>
      </c>
      <c r="C15" s="58" t="s">
        <v>71</v>
      </c>
      <c r="D15" s="60">
        <v>9.0</v>
      </c>
      <c r="E15" s="66">
        <f t="shared" si="1"/>
        <v>1</v>
      </c>
      <c r="F15" s="68">
        <f t="shared" si="2"/>
        <v>9</v>
      </c>
      <c r="G15" s="68">
        <f t="shared" si="3"/>
        <v>0</v>
      </c>
      <c r="H15" s="72">
        <f t="shared" si="4"/>
        <v>0</v>
      </c>
      <c r="I15" s="73">
        <v>1.0</v>
      </c>
      <c r="J15" s="74"/>
      <c r="K15" s="75">
        <v>0.1</v>
      </c>
      <c r="L15" s="76">
        <v>0.0</v>
      </c>
      <c r="M15" s="79"/>
      <c r="N15" s="82"/>
      <c r="O15" s="85"/>
    </row>
    <row r="16" collapsed="1">
      <c r="A16" s="55" t="s">
        <v>34</v>
      </c>
      <c r="B16" s="56" t="s">
        <v>36</v>
      </c>
      <c r="C16" s="58" t="s">
        <v>77</v>
      </c>
      <c r="D16" s="60">
        <v>3.0</v>
      </c>
      <c r="E16" s="66">
        <f t="shared" si="1"/>
        <v>1</v>
      </c>
      <c r="F16" s="68">
        <f t="shared" si="2"/>
        <v>3</v>
      </c>
      <c r="G16" s="68">
        <f t="shared" si="3"/>
        <v>0</v>
      </c>
      <c r="H16" s="72">
        <f t="shared" si="4"/>
        <v>0</v>
      </c>
      <c r="I16" s="73">
        <v>1.0</v>
      </c>
      <c r="J16" s="74"/>
      <c r="K16" s="75">
        <v>0.1</v>
      </c>
      <c r="L16" s="76">
        <v>0.0</v>
      </c>
      <c r="M16" s="79"/>
      <c r="N16" s="82"/>
      <c r="O16" s="85"/>
    </row>
    <row r="17">
      <c r="A17" s="55" t="s">
        <v>34</v>
      </c>
      <c r="B17" s="56" t="s">
        <v>36</v>
      </c>
      <c r="C17" s="58" t="s">
        <v>81</v>
      </c>
      <c r="D17" s="60">
        <v>5.0</v>
      </c>
      <c r="E17" s="66">
        <f t="shared" si="1"/>
        <v>1</v>
      </c>
      <c r="F17" s="68">
        <f t="shared" si="2"/>
        <v>5</v>
      </c>
      <c r="G17" s="68">
        <f t="shared" si="3"/>
        <v>0</v>
      </c>
      <c r="H17" s="72">
        <f t="shared" si="4"/>
        <v>0</v>
      </c>
      <c r="I17" s="73">
        <v>1.0</v>
      </c>
      <c r="J17" s="74"/>
      <c r="K17" s="75">
        <v>0.1</v>
      </c>
      <c r="L17" s="76">
        <v>0.0</v>
      </c>
      <c r="M17" s="79"/>
      <c r="N17" s="82"/>
      <c r="O17" s="85"/>
    </row>
    <row r="18">
      <c r="A18" s="55" t="s">
        <v>34</v>
      </c>
      <c r="B18" s="56" t="s">
        <v>36</v>
      </c>
      <c r="C18" s="58" t="s">
        <v>85</v>
      </c>
      <c r="D18" s="60">
        <v>5.0</v>
      </c>
      <c r="E18" s="66">
        <f t="shared" si="1"/>
        <v>1</v>
      </c>
      <c r="F18" s="68">
        <f t="shared" si="2"/>
        <v>5</v>
      </c>
      <c r="G18" s="68">
        <f t="shared" si="3"/>
        <v>0</v>
      </c>
      <c r="H18" s="72">
        <f t="shared" si="4"/>
        <v>0</v>
      </c>
      <c r="I18" s="73">
        <v>1.0</v>
      </c>
      <c r="J18" s="74"/>
      <c r="K18" s="75">
        <v>0.1</v>
      </c>
      <c r="L18" s="76">
        <v>0.0</v>
      </c>
      <c r="M18" s="79"/>
      <c r="N18" s="82"/>
      <c r="O18" s="85"/>
    </row>
    <row r="19">
      <c r="A19" s="55" t="s">
        <v>34</v>
      </c>
      <c r="B19" s="56" t="s">
        <v>36</v>
      </c>
      <c r="C19" s="58" t="s">
        <v>91</v>
      </c>
      <c r="D19" s="60">
        <v>7.0</v>
      </c>
      <c r="E19" s="66">
        <f t="shared" si="1"/>
        <v>1</v>
      </c>
      <c r="F19" s="68">
        <f t="shared" si="2"/>
        <v>7</v>
      </c>
      <c r="G19" s="68">
        <f t="shared" si="3"/>
        <v>0</v>
      </c>
      <c r="H19" s="72">
        <f t="shared" si="4"/>
        <v>0</v>
      </c>
      <c r="I19" s="73">
        <v>1.0</v>
      </c>
      <c r="J19" s="74"/>
      <c r="K19" s="75">
        <v>0.1</v>
      </c>
      <c r="L19" s="76">
        <v>0.0</v>
      </c>
      <c r="M19" s="79"/>
      <c r="N19" s="82"/>
      <c r="O19" s="85"/>
    </row>
    <row r="20">
      <c r="A20" s="55" t="s">
        <v>34</v>
      </c>
      <c r="B20" s="56" t="s">
        <v>36</v>
      </c>
      <c r="C20" s="58" t="s">
        <v>93</v>
      </c>
      <c r="D20" s="60">
        <v>20.0</v>
      </c>
      <c r="E20" s="66">
        <f t="shared" si="1"/>
        <v>1</v>
      </c>
      <c r="F20" s="68">
        <f t="shared" si="2"/>
        <v>20</v>
      </c>
      <c r="G20" s="68">
        <f t="shared" si="3"/>
        <v>0</v>
      </c>
      <c r="H20" s="72">
        <f t="shared" si="4"/>
        <v>0</v>
      </c>
      <c r="I20" s="73">
        <v>1.0</v>
      </c>
      <c r="J20" s="74"/>
      <c r="K20" s="75">
        <v>0.1</v>
      </c>
      <c r="L20" s="76">
        <v>0.0</v>
      </c>
      <c r="M20" s="79"/>
      <c r="N20" s="82"/>
      <c r="O20" s="85"/>
    </row>
    <row r="21">
      <c r="A21" s="55" t="s">
        <v>34</v>
      </c>
      <c r="B21" s="56" t="s">
        <v>36</v>
      </c>
      <c r="C21" s="58" t="s">
        <v>70</v>
      </c>
      <c r="D21" s="60">
        <v>7.0</v>
      </c>
      <c r="E21" s="66">
        <f t="shared" si="1"/>
        <v>1</v>
      </c>
      <c r="F21" s="68">
        <f t="shared" si="2"/>
        <v>7</v>
      </c>
      <c r="G21" s="68">
        <f t="shared" si="3"/>
        <v>0</v>
      </c>
      <c r="H21" s="72">
        <f t="shared" si="4"/>
        <v>0</v>
      </c>
      <c r="I21" s="73">
        <v>1.0</v>
      </c>
      <c r="J21" s="74"/>
      <c r="K21" s="75">
        <v>0.1</v>
      </c>
      <c r="L21" s="76">
        <v>0.0</v>
      </c>
      <c r="M21" s="79"/>
      <c r="N21" s="82"/>
      <c r="O21" s="85"/>
    </row>
    <row r="22">
      <c r="A22" s="55" t="s">
        <v>34</v>
      </c>
      <c r="B22" s="56" t="s">
        <v>36</v>
      </c>
      <c r="C22" s="58" t="s">
        <v>75</v>
      </c>
      <c r="D22" s="60">
        <v>7.0</v>
      </c>
      <c r="E22" s="66">
        <f t="shared" si="1"/>
        <v>1</v>
      </c>
      <c r="F22" s="68">
        <f t="shared" si="2"/>
        <v>7</v>
      </c>
      <c r="G22" s="68">
        <f t="shared" si="3"/>
        <v>0</v>
      </c>
      <c r="H22" s="72">
        <f t="shared" si="4"/>
        <v>0</v>
      </c>
      <c r="I22" s="73">
        <v>1.0</v>
      </c>
      <c r="J22" s="74"/>
      <c r="K22" s="75">
        <v>0.1</v>
      </c>
      <c r="L22" s="76">
        <v>0.0</v>
      </c>
      <c r="M22" s="79"/>
      <c r="N22" s="82"/>
      <c r="O22" s="85"/>
    </row>
    <row r="23">
      <c r="A23" s="55" t="s">
        <v>34</v>
      </c>
      <c r="B23" s="56" t="s">
        <v>36</v>
      </c>
      <c r="C23" s="58" t="s">
        <v>105</v>
      </c>
      <c r="D23" s="60">
        <v>11.0</v>
      </c>
      <c r="E23" s="66">
        <f t="shared" si="1"/>
        <v>1</v>
      </c>
      <c r="F23" s="68">
        <f t="shared" si="2"/>
        <v>11</v>
      </c>
      <c r="G23" s="68">
        <f t="shared" si="3"/>
        <v>0</v>
      </c>
      <c r="H23" s="72">
        <f t="shared" si="4"/>
        <v>0</v>
      </c>
      <c r="I23" s="73">
        <v>1.0</v>
      </c>
      <c r="J23" s="74"/>
      <c r="K23" s="75">
        <v>0.1</v>
      </c>
      <c r="L23" s="76">
        <v>0.0</v>
      </c>
      <c r="M23" s="79"/>
      <c r="N23" s="82"/>
      <c r="O23" s="85"/>
    </row>
    <row r="24">
      <c r="A24" s="55" t="s">
        <v>34</v>
      </c>
      <c r="B24" s="56" t="s">
        <v>36</v>
      </c>
      <c r="C24" s="58" t="s">
        <v>106</v>
      </c>
      <c r="D24" s="60">
        <v>11.0</v>
      </c>
      <c r="E24" s="66">
        <f t="shared" si="1"/>
        <v>1</v>
      </c>
      <c r="F24" s="68">
        <f t="shared" si="2"/>
        <v>11</v>
      </c>
      <c r="G24" s="68">
        <f t="shared" si="3"/>
        <v>0</v>
      </c>
      <c r="H24" s="72">
        <f t="shared" si="4"/>
        <v>0</v>
      </c>
      <c r="I24" s="73">
        <v>1.0</v>
      </c>
      <c r="J24" s="74"/>
      <c r="K24" s="75">
        <v>0.1</v>
      </c>
      <c r="L24" s="76">
        <v>0.0</v>
      </c>
      <c r="M24" s="79"/>
      <c r="N24" s="82"/>
      <c r="O24" s="85"/>
    </row>
    <row r="25">
      <c r="A25" s="55" t="s">
        <v>34</v>
      </c>
      <c r="B25" s="56" t="s">
        <v>36</v>
      </c>
      <c r="C25" s="58" t="s">
        <v>114</v>
      </c>
      <c r="D25" s="60">
        <v>11.0</v>
      </c>
      <c r="E25" s="66">
        <f t="shared" si="1"/>
        <v>1</v>
      </c>
      <c r="F25" s="68">
        <f t="shared" si="2"/>
        <v>11</v>
      </c>
      <c r="G25" s="68">
        <f t="shared" si="3"/>
        <v>0</v>
      </c>
      <c r="H25" s="72">
        <f t="shared" si="4"/>
        <v>0</v>
      </c>
      <c r="I25" s="73">
        <v>1.0</v>
      </c>
      <c r="J25" s="74"/>
      <c r="K25" s="75">
        <v>0.1</v>
      </c>
      <c r="L25" s="76">
        <v>0.0</v>
      </c>
      <c r="M25" s="79"/>
      <c r="N25" s="82"/>
      <c r="O25" s="85"/>
    </row>
    <row r="26">
      <c r="A26" s="55" t="s">
        <v>34</v>
      </c>
      <c r="B26" s="56" t="s">
        <v>36</v>
      </c>
      <c r="C26" s="58" t="s">
        <v>119</v>
      </c>
      <c r="D26" s="60">
        <v>11.0</v>
      </c>
      <c r="E26" s="66">
        <f t="shared" si="1"/>
        <v>1</v>
      </c>
      <c r="F26" s="68">
        <f t="shared" si="2"/>
        <v>11</v>
      </c>
      <c r="G26" s="68">
        <f t="shared" si="3"/>
        <v>0</v>
      </c>
      <c r="H26" s="72">
        <f t="shared" si="4"/>
        <v>0</v>
      </c>
      <c r="I26" s="73">
        <v>1.0</v>
      </c>
      <c r="J26" s="74"/>
      <c r="K26" s="75">
        <v>0.1</v>
      </c>
      <c r="L26" s="76">
        <v>0.0</v>
      </c>
      <c r="M26" s="79"/>
      <c r="N26" s="82"/>
      <c r="O26" s="85"/>
    </row>
    <row r="27">
      <c r="A27" s="55" t="s">
        <v>34</v>
      </c>
      <c r="B27" s="56" t="s">
        <v>36</v>
      </c>
      <c r="C27" s="58" t="s">
        <v>124</v>
      </c>
      <c r="D27" s="60">
        <v>4.0</v>
      </c>
      <c r="E27" s="66">
        <f t="shared" si="1"/>
        <v>1</v>
      </c>
      <c r="F27" s="68">
        <f t="shared" si="2"/>
        <v>4</v>
      </c>
      <c r="G27" s="68">
        <f t="shared" si="3"/>
        <v>0</v>
      </c>
      <c r="H27" s="72">
        <f t="shared" si="4"/>
        <v>0</v>
      </c>
      <c r="I27" s="73">
        <v>1.0</v>
      </c>
      <c r="J27" s="74"/>
      <c r="K27" s="75">
        <v>0.1</v>
      </c>
      <c r="L27" s="76">
        <v>0.0</v>
      </c>
      <c r="M27" s="79"/>
      <c r="N27" s="82"/>
      <c r="O27" s="85"/>
    </row>
    <row r="28">
      <c r="A28" s="55" t="s">
        <v>34</v>
      </c>
      <c r="B28" s="56" t="s">
        <v>36</v>
      </c>
      <c r="C28" s="58" t="s">
        <v>90</v>
      </c>
      <c r="D28" s="60">
        <v>11.0</v>
      </c>
      <c r="E28" s="66">
        <f t="shared" si="1"/>
        <v>1</v>
      </c>
      <c r="F28" s="68">
        <f t="shared" si="2"/>
        <v>11</v>
      </c>
      <c r="G28" s="68">
        <f t="shared" si="3"/>
        <v>0</v>
      </c>
      <c r="H28" s="72">
        <f t="shared" si="4"/>
        <v>0</v>
      </c>
      <c r="I28" s="73">
        <v>1.0</v>
      </c>
      <c r="J28" s="74"/>
      <c r="K28" s="75">
        <v>0.1</v>
      </c>
      <c r="L28" s="76">
        <v>0.0</v>
      </c>
      <c r="M28" s="79"/>
      <c r="N28" s="82"/>
      <c r="O28" s="85"/>
    </row>
    <row r="29">
      <c r="A29" s="57" t="s">
        <v>34</v>
      </c>
      <c r="B29" s="59" t="s">
        <v>36</v>
      </c>
      <c r="C29" s="114" t="s">
        <v>135</v>
      </c>
      <c r="D29" s="116">
        <v>5.0</v>
      </c>
      <c r="E29" s="69">
        <f t="shared" si="1"/>
        <v>1</v>
      </c>
      <c r="F29" s="117">
        <f t="shared" si="2"/>
        <v>5</v>
      </c>
      <c r="G29" s="117">
        <f t="shared" si="3"/>
        <v>0</v>
      </c>
      <c r="H29" s="118">
        <f t="shared" si="4"/>
        <v>0</v>
      </c>
      <c r="I29" s="119">
        <v>1.0</v>
      </c>
      <c r="J29" s="108"/>
      <c r="K29" s="120">
        <v>0.1</v>
      </c>
      <c r="L29" s="157">
        <v>0.0</v>
      </c>
      <c r="M29" s="122"/>
      <c r="N29" s="123"/>
      <c r="O29" s="125"/>
    </row>
    <row r="30">
      <c r="A30" s="55" t="s">
        <v>140</v>
      </c>
      <c r="B30" s="56" t="s">
        <v>141</v>
      </c>
      <c r="C30" s="58" t="s">
        <v>69</v>
      </c>
      <c r="D30" s="60">
        <v>3.5</v>
      </c>
      <c r="E30" s="66">
        <f t="shared" si="1"/>
        <v>1</v>
      </c>
      <c r="F30" s="68">
        <f t="shared" si="2"/>
        <v>3.5</v>
      </c>
      <c r="G30" s="68">
        <f t="shared" si="3"/>
        <v>0</v>
      </c>
      <c r="H30" s="72">
        <f t="shared" si="4"/>
        <v>0</v>
      </c>
      <c r="I30" s="73">
        <v>1.0</v>
      </c>
      <c r="J30" s="74"/>
      <c r="K30" s="75">
        <v>0.1</v>
      </c>
      <c r="L30" s="76">
        <v>0.0</v>
      </c>
      <c r="M30" s="79"/>
      <c r="N30" s="82"/>
      <c r="O30" s="85"/>
    </row>
    <row r="31">
      <c r="A31" s="55" t="s">
        <v>140</v>
      </c>
      <c r="B31" s="56"/>
      <c r="C31" s="159" t="s">
        <v>146</v>
      </c>
      <c r="D31" s="60">
        <v>3.0</v>
      </c>
      <c r="E31" s="66">
        <f t="shared" si="1"/>
        <v>1</v>
      </c>
      <c r="F31" s="68">
        <f t="shared" si="2"/>
        <v>3</v>
      </c>
      <c r="G31" s="68">
        <f t="shared" si="3"/>
        <v>0</v>
      </c>
      <c r="H31" s="72">
        <f t="shared" si="4"/>
        <v>0</v>
      </c>
      <c r="I31" s="73">
        <v>1.0</v>
      </c>
      <c r="J31" s="74"/>
      <c r="K31" s="75">
        <v>0.1</v>
      </c>
      <c r="L31" s="76">
        <v>0.0</v>
      </c>
      <c r="M31" s="79"/>
      <c r="N31" s="82"/>
      <c r="O31" s="85"/>
    </row>
    <row r="32">
      <c r="A32" s="55" t="s">
        <v>140</v>
      </c>
      <c r="B32" s="56"/>
      <c r="C32" s="159" t="s">
        <v>151</v>
      </c>
      <c r="D32" s="60">
        <v>1.5</v>
      </c>
      <c r="E32" s="66">
        <f t="shared" si="1"/>
        <v>1</v>
      </c>
      <c r="F32" s="68">
        <f t="shared" si="2"/>
        <v>1.5</v>
      </c>
      <c r="G32" s="68">
        <f t="shared" si="3"/>
        <v>0</v>
      </c>
      <c r="H32" s="72">
        <f t="shared" si="4"/>
        <v>0</v>
      </c>
      <c r="I32" s="73">
        <v>1.0</v>
      </c>
      <c r="J32" s="74"/>
      <c r="K32" s="75">
        <v>0.1</v>
      </c>
      <c r="L32" s="76">
        <v>0.0</v>
      </c>
      <c r="M32" s="79"/>
      <c r="N32" s="82"/>
      <c r="O32" s="85"/>
    </row>
    <row r="33">
      <c r="A33" s="160" t="s">
        <v>140</v>
      </c>
      <c r="B33" s="161" t="s">
        <v>141</v>
      </c>
      <c r="C33" s="162" t="s">
        <v>157</v>
      </c>
      <c r="D33" s="164"/>
      <c r="E33" s="165" t="str">
        <f t="shared" si="1"/>
        <v/>
      </c>
      <c r="F33" s="166">
        <f t="shared" si="2"/>
        <v>0</v>
      </c>
      <c r="G33" s="166">
        <f t="shared" si="3"/>
        <v>0</v>
      </c>
      <c r="H33" s="167">
        <f t="shared" si="4"/>
        <v>0</v>
      </c>
      <c r="I33" s="168">
        <v>1.0</v>
      </c>
      <c r="J33" s="169"/>
      <c r="K33" s="170">
        <v>0.1</v>
      </c>
      <c r="L33" s="171">
        <v>0.0</v>
      </c>
      <c r="M33" s="88"/>
      <c r="N33" s="90"/>
      <c r="O33" s="172" t="s">
        <v>167</v>
      </c>
    </row>
    <row r="34" hidden="1" outlineLevel="1">
      <c r="A34" s="55" t="s">
        <v>140</v>
      </c>
      <c r="B34" s="56" t="s">
        <v>141</v>
      </c>
      <c r="C34" s="64" t="s">
        <v>154</v>
      </c>
      <c r="D34" s="67">
        <v>3.5</v>
      </c>
      <c r="E34" s="66">
        <f t="shared" si="1"/>
        <v>1</v>
      </c>
      <c r="F34" s="70">
        <f t="shared" si="2"/>
        <v>3.5</v>
      </c>
      <c r="G34" s="70">
        <f t="shared" si="3"/>
        <v>0</v>
      </c>
      <c r="H34" s="77">
        <f t="shared" si="4"/>
        <v>0</v>
      </c>
      <c r="I34" s="78">
        <v>1.0</v>
      </c>
      <c r="J34" s="80"/>
      <c r="K34" s="84">
        <v>0.1</v>
      </c>
      <c r="L34" s="163">
        <v>0.0</v>
      </c>
      <c r="M34" s="88"/>
      <c r="N34" s="90"/>
      <c r="O34" s="91"/>
    </row>
    <row r="35" collapsed="1">
      <c r="A35" s="55" t="s">
        <v>140</v>
      </c>
      <c r="B35" s="56" t="s">
        <v>141</v>
      </c>
      <c r="C35" s="64" t="s">
        <v>173</v>
      </c>
      <c r="D35" s="67">
        <v>1.5</v>
      </c>
      <c r="E35" s="66">
        <f t="shared" si="1"/>
        <v>1</v>
      </c>
      <c r="F35" s="68">
        <f t="shared" si="2"/>
        <v>1.5</v>
      </c>
      <c r="G35" s="68">
        <f t="shared" si="3"/>
        <v>0</v>
      </c>
      <c r="H35" s="72">
        <f t="shared" si="4"/>
        <v>0</v>
      </c>
      <c r="I35" s="73">
        <v>1.0</v>
      </c>
      <c r="J35" s="74"/>
      <c r="K35" s="75">
        <v>0.1</v>
      </c>
      <c r="L35" s="76">
        <v>0.0</v>
      </c>
      <c r="M35" s="79"/>
      <c r="N35" s="82"/>
      <c r="O35" s="85" t="s">
        <v>167</v>
      </c>
    </row>
    <row r="36">
      <c r="A36" s="55" t="s">
        <v>140</v>
      </c>
      <c r="B36" s="56"/>
      <c r="C36" s="159" t="s">
        <v>178</v>
      </c>
      <c r="D36" s="60">
        <v>1.0</v>
      </c>
      <c r="E36" s="66">
        <f t="shared" si="1"/>
        <v>1</v>
      </c>
      <c r="F36" s="68">
        <f t="shared" si="2"/>
        <v>1</v>
      </c>
      <c r="G36" s="68">
        <f t="shared" si="3"/>
        <v>0</v>
      </c>
      <c r="H36" s="72">
        <f t="shared" si="4"/>
        <v>0</v>
      </c>
      <c r="I36" s="73">
        <v>1.0</v>
      </c>
      <c r="J36" s="74"/>
      <c r="K36" s="75">
        <v>0.1</v>
      </c>
      <c r="L36" s="76">
        <v>0.0</v>
      </c>
      <c r="M36" s="79"/>
      <c r="N36" s="82"/>
      <c r="O36" s="85"/>
    </row>
    <row r="37">
      <c r="A37" s="55" t="s">
        <v>140</v>
      </c>
      <c r="B37" s="56" t="s">
        <v>182</v>
      </c>
      <c r="C37" s="58" t="s">
        <v>143</v>
      </c>
      <c r="D37" s="60">
        <v>4.0</v>
      </c>
      <c r="E37" s="66">
        <f t="shared" si="1"/>
        <v>1</v>
      </c>
      <c r="F37" s="68">
        <f t="shared" si="2"/>
        <v>4</v>
      </c>
      <c r="G37" s="68">
        <f t="shared" si="3"/>
        <v>0</v>
      </c>
      <c r="H37" s="72">
        <f t="shared" si="4"/>
        <v>0</v>
      </c>
      <c r="I37" s="73">
        <v>1.0</v>
      </c>
      <c r="J37" s="74"/>
      <c r="K37" s="75">
        <v>0.1</v>
      </c>
      <c r="L37" s="76">
        <v>0.0</v>
      </c>
      <c r="M37" s="79"/>
      <c r="N37" s="82"/>
      <c r="O37" s="85"/>
    </row>
    <row r="38">
      <c r="A38" s="55" t="s">
        <v>140</v>
      </c>
      <c r="B38" s="56"/>
      <c r="C38" s="159" t="s">
        <v>188</v>
      </c>
      <c r="D38" s="60">
        <v>3.0</v>
      </c>
      <c r="E38" s="66">
        <f t="shared" si="1"/>
        <v>1</v>
      </c>
      <c r="F38" s="68">
        <f t="shared" si="2"/>
        <v>3</v>
      </c>
      <c r="G38" s="68">
        <f t="shared" si="3"/>
        <v>0</v>
      </c>
      <c r="H38" s="72">
        <f t="shared" si="4"/>
        <v>0</v>
      </c>
      <c r="I38" s="73">
        <v>1.0</v>
      </c>
      <c r="J38" s="74"/>
      <c r="K38" s="75">
        <v>0.1</v>
      </c>
      <c r="L38" s="76">
        <v>0.0</v>
      </c>
      <c r="M38" s="79"/>
      <c r="N38" s="82"/>
      <c r="O38" s="85"/>
    </row>
    <row r="39">
      <c r="A39" s="55" t="s">
        <v>140</v>
      </c>
      <c r="B39" s="56"/>
      <c r="C39" s="159" t="s">
        <v>191</v>
      </c>
      <c r="D39" s="60">
        <v>2.0</v>
      </c>
      <c r="E39" s="66">
        <f t="shared" si="1"/>
        <v>1</v>
      </c>
      <c r="F39" s="68">
        <f t="shared" si="2"/>
        <v>2</v>
      </c>
      <c r="G39" s="68">
        <f t="shared" si="3"/>
        <v>0</v>
      </c>
      <c r="H39" s="72">
        <f t="shared" si="4"/>
        <v>0</v>
      </c>
      <c r="I39" s="73">
        <v>1.0</v>
      </c>
      <c r="J39" s="74"/>
      <c r="K39" s="75">
        <v>0.1</v>
      </c>
      <c r="L39" s="76">
        <v>0.0</v>
      </c>
      <c r="M39" s="79"/>
      <c r="N39" s="82"/>
      <c r="O39" s="85"/>
    </row>
    <row r="40">
      <c r="A40" s="55" t="s">
        <v>140</v>
      </c>
      <c r="B40" s="56" t="s">
        <v>141</v>
      </c>
      <c r="C40" s="58" t="s">
        <v>54</v>
      </c>
      <c r="D40" s="60">
        <v>4.0</v>
      </c>
      <c r="E40" s="66">
        <f t="shared" si="1"/>
        <v>1</v>
      </c>
      <c r="F40" s="68">
        <f t="shared" si="2"/>
        <v>4</v>
      </c>
      <c r="G40" s="68">
        <f t="shared" si="3"/>
        <v>0</v>
      </c>
      <c r="H40" s="72">
        <f t="shared" si="4"/>
        <v>0</v>
      </c>
      <c r="I40" s="73">
        <v>1.0</v>
      </c>
      <c r="J40" s="74"/>
      <c r="K40" s="75">
        <v>0.1</v>
      </c>
      <c r="L40" s="76">
        <v>0.0</v>
      </c>
      <c r="M40" s="79"/>
      <c r="N40" s="82"/>
      <c r="O40" s="85"/>
    </row>
    <row r="41">
      <c r="A41" s="55" t="s">
        <v>140</v>
      </c>
      <c r="B41" s="56"/>
      <c r="C41" s="159" t="s">
        <v>201</v>
      </c>
      <c r="D41" s="60">
        <v>3.0</v>
      </c>
      <c r="E41" s="66">
        <f t="shared" si="1"/>
        <v>1</v>
      </c>
      <c r="F41" s="68">
        <f t="shared" si="2"/>
        <v>3</v>
      </c>
      <c r="G41" s="68">
        <f t="shared" si="3"/>
        <v>0</v>
      </c>
      <c r="H41" s="72">
        <f t="shared" si="4"/>
        <v>0</v>
      </c>
      <c r="I41" s="73">
        <v>1.0</v>
      </c>
      <c r="J41" s="74"/>
      <c r="K41" s="75">
        <v>0.1</v>
      </c>
      <c r="L41" s="76">
        <v>0.0</v>
      </c>
      <c r="M41" s="79"/>
      <c r="N41" s="82"/>
      <c r="O41" s="85"/>
    </row>
    <row r="42">
      <c r="A42" s="55" t="s">
        <v>140</v>
      </c>
      <c r="B42" s="56"/>
      <c r="C42" s="159" t="s">
        <v>208</v>
      </c>
      <c r="D42" s="60">
        <v>2.0</v>
      </c>
      <c r="E42" s="66">
        <f t="shared" si="1"/>
        <v>1</v>
      </c>
      <c r="F42" s="68">
        <f t="shared" si="2"/>
        <v>2</v>
      </c>
      <c r="G42" s="68">
        <f t="shared" si="3"/>
        <v>0</v>
      </c>
      <c r="H42" s="72">
        <f t="shared" si="4"/>
        <v>0</v>
      </c>
      <c r="I42" s="73">
        <v>1.0</v>
      </c>
      <c r="J42" s="74"/>
      <c r="K42" s="75">
        <v>0.1</v>
      </c>
      <c r="L42" s="76">
        <v>0.0</v>
      </c>
      <c r="M42" s="79"/>
      <c r="N42" s="82"/>
      <c r="O42" s="85"/>
    </row>
    <row r="43">
      <c r="A43" s="55" t="s">
        <v>140</v>
      </c>
      <c r="B43" s="56" t="s">
        <v>182</v>
      </c>
      <c r="C43" s="58" t="s">
        <v>210</v>
      </c>
      <c r="D43" s="60">
        <v>4.0</v>
      </c>
      <c r="E43" s="66">
        <f t="shared" si="1"/>
        <v>1</v>
      </c>
      <c r="F43" s="68">
        <f t="shared" si="2"/>
        <v>4</v>
      </c>
      <c r="G43" s="68">
        <f t="shared" si="3"/>
        <v>0</v>
      </c>
      <c r="H43" s="72">
        <f t="shared" si="4"/>
        <v>0</v>
      </c>
      <c r="I43" s="73">
        <v>1.0</v>
      </c>
      <c r="J43" s="74"/>
      <c r="K43" s="75">
        <v>0.1</v>
      </c>
      <c r="L43" s="76">
        <v>0.0</v>
      </c>
      <c r="M43" s="79"/>
      <c r="N43" s="82"/>
      <c r="O43" s="85"/>
    </row>
    <row r="44">
      <c r="A44" s="55" t="s">
        <v>140</v>
      </c>
      <c r="B44" s="56"/>
      <c r="C44" s="159" t="s">
        <v>214</v>
      </c>
      <c r="D44" s="60">
        <v>3.0</v>
      </c>
      <c r="E44" s="66">
        <f t="shared" si="1"/>
        <v>1</v>
      </c>
      <c r="F44" s="68">
        <f t="shared" si="2"/>
        <v>3</v>
      </c>
      <c r="G44" s="68">
        <f t="shared" si="3"/>
        <v>0</v>
      </c>
      <c r="H44" s="72">
        <f t="shared" si="4"/>
        <v>0</v>
      </c>
      <c r="I44" s="73">
        <v>1.0</v>
      </c>
      <c r="J44" s="74"/>
      <c r="K44" s="75">
        <v>0.1</v>
      </c>
      <c r="L44" s="76">
        <v>0.0</v>
      </c>
      <c r="M44" s="79"/>
      <c r="N44" s="82"/>
      <c r="O44" s="85"/>
    </row>
    <row r="45">
      <c r="A45" s="55" t="s">
        <v>140</v>
      </c>
      <c r="B45" s="56"/>
      <c r="C45" s="159" t="s">
        <v>217</v>
      </c>
      <c r="D45" s="60">
        <v>2.0</v>
      </c>
      <c r="E45" s="66">
        <f t="shared" si="1"/>
        <v>1</v>
      </c>
      <c r="F45" s="68">
        <f t="shared" si="2"/>
        <v>2</v>
      </c>
      <c r="G45" s="68">
        <f t="shared" si="3"/>
        <v>0</v>
      </c>
      <c r="H45" s="72">
        <f t="shared" si="4"/>
        <v>0</v>
      </c>
      <c r="I45" s="73">
        <v>1.0</v>
      </c>
      <c r="J45" s="74"/>
      <c r="K45" s="75">
        <v>0.1</v>
      </c>
      <c r="L45" s="76">
        <v>0.0</v>
      </c>
      <c r="M45" s="79"/>
      <c r="N45" s="82"/>
      <c r="O45" s="85"/>
    </row>
    <row r="46">
      <c r="A46" s="55" t="s">
        <v>140</v>
      </c>
      <c r="B46" s="56" t="s">
        <v>141</v>
      </c>
      <c r="C46" s="58" t="s">
        <v>220</v>
      </c>
      <c r="D46" s="60">
        <v>4.0</v>
      </c>
      <c r="E46" s="66">
        <f t="shared" si="1"/>
        <v>1</v>
      </c>
      <c r="F46" s="68">
        <f t="shared" si="2"/>
        <v>4</v>
      </c>
      <c r="G46" s="68">
        <f t="shared" si="3"/>
        <v>0</v>
      </c>
      <c r="H46" s="72">
        <f t="shared" si="4"/>
        <v>0</v>
      </c>
      <c r="I46" s="73">
        <v>1.0</v>
      </c>
      <c r="J46" s="74"/>
      <c r="K46" s="75">
        <v>0.1</v>
      </c>
      <c r="L46" s="76">
        <v>0.0</v>
      </c>
      <c r="M46" s="79"/>
      <c r="N46" s="82"/>
      <c r="O46" s="85"/>
    </row>
    <row r="47">
      <c r="A47" s="55" t="s">
        <v>140</v>
      </c>
      <c r="B47" s="56" t="s">
        <v>141</v>
      </c>
      <c r="C47" s="58" t="s">
        <v>225</v>
      </c>
      <c r="D47" s="60">
        <v>4.0</v>
      </c>
      <c r="E47" s="66">
        <f t="shared" si="1"/>
        <v>1</v>
      </c>
      <c r="F47" s="68">
        <f t="shared" si="2"/>
        <v>4</v>
      </c>
      <c r="G47" s="68">
        <f t="shared" si="3"/>
        <v>0</v>
      </c>
      <c r="H47" s="72">
        <f t="shared" si="4"/>
        <v>0</v>
      </c>
      <c r="I47" s="73">
        <v>1.0</v>
      </c>
      <c r="J47" s="74"/>
      <c r="K47" s="75">
        <v>0.1</v>
      </c>
      <c r="L47" s="76">
        <v>0.0</v>
      </c>
      <c r="M47" s="79"/>
      <c r="N47" s="82"/>
      <c r="O47" s="85"/>
    </row>
    <row r="48">
      <c r="A48" s="55" t="s">
        <v>140</v>
      </c>
      <c r="B48" s="56" t="s">
        <v>141</v>
      </c>
      <c r="C48" s="58" t="s">
        <v>239</v>
      </c>
      <c r="D48" s="60">
        <v>4.0</v>
      </c>
      <c r="E48" s="66">
        <f t="shared" si="1"/>
        <v>1</v>
      </c>
      <c r="F48" s="68">
        <f t="shared" si="2"/>
        <v>4</v>
      </c>
      <c r="G48" s="68">
        <f t="shared" si="3"/>
        <v>0</v>
      </c>
      <c r="H48" s="72">
        <f t="shared" si="4"/>
        <v>0</v>
      </c>
      <c r="I48" s="73">
        <v>1.0</v>
      </c>
      <c r="J48" s="74"/>
      <c r="K48" s="75">
        <v>0.1</v>
      </c>
      <c r="L48" s="76">
        <v>0.0</v>
      </c>
      <c r="M48" s="79"/>
      <c r="N48" s="82"/>
      <c r="O48" s="85"/>
    </row>
    <row r="49">
      <c r="A49" s="55" t="s">
        <v>140</v>
      </c>
      <c r="B49" s="56" t="s">
        <v>182</v>
      </c>
      <c r="C49" s="58" t="s">
        <v>248</v>
      </c>
      <c r="D49" s="60">
        <v>5.0</v>
      </c>
      <c r="E49" s="66">
        <f t="shared" si="1"/>
        <v>1</v>
      </c>
      <c r="F49" s="68">
        <f t="shared" si="2"/>
        <v>5</v>
      </c>
      <c r="G49" s="68">
        <f t="shared" si="3"/>
        <v>0</v>
      </c>
      <c r="H49" s="72">
        <f t="shared" si="4"/>
        <v>0</v>
      </c>
      <c r="I49" s="73">
        <v>1.0</v>
      </c>
      <c r="J49" s="74"/>
      <c r="K49" s="75">
        <v>0.1</v>
      </c>
      <c r="L49" s="76">
        <v>0.0</v>
      </c>
      <c r="M49" s="79"/>
      <c r="N49" s="82"/>
      <c r="O49" s="85"/>
    </row>
    <row r="50">
      <c r="A50" s="55" t="s">
        <v>140</v>
      </c>
      <c r="B50" s="56"/>
      <c r="C50" s="159" t="s">
        <v>257</v>
      </c>
      <c r="D50" s="60">
        <v>4.0</v>
      </c>
      <c r="E50" s="66">
        <f t="shared" si="1"/>
        <v>1</v>
      </c>
      <c r="F50" s="68">
        <f t="shared" si="2"/>
        <v>4</v>
      </c>
      <c r="G50" s="68">
        <f t="shared" si="3"/>
        <v>0</v>
      </c>
      <c r="H50" s="72">
        <f t="shared" si="4"/>
        <v>0</v>
      </c>
      <c r="I50" s="73">
        <v>1.0</v>
      </c>
      <c r="J50" s="74"/>
      <c r="K50" s="75">
        <v>0.1</v>
      </c>
      <c r="L50" s="76">
        <v>0.0</v>
      </c>
      <c r="M50" s="79"/>
      <c r="N50" s="82"/>
      <c r="O50" s="85"/>
    </row>
    <row r="51">
      <c r="A51" s="55" t="s">
        <v>140</v>
      </c>
      <c r="B51" s="56"/>
      <c r="C51" s="159" t="s">
        <v>268</v>
      </c>
      <c r="D51" s="60">
        <v>3.0</v>
      </c>
      <c r="E51" s="66">
        <f t="shared" si="1"/>
        <v>1</v>
      </c>
      <c r="F51" s="68">
        <f t="shared" si="2"/>
        <v>3</v>
      </c>
      <c r="G51" s="68">
        <f t="shared" si="3"/>
        <v>0</v>
      </c>
      <c r="H51" s="72">
        <f t="shared" si="4"/>
        <v>0</v>
      </c>
      <c r="I51" s="73">
        <v>1.0</v>
      </c>
      <c r="J51" s="74"/>
      <c r="K51" s="75">
        <v>0.1</v>
      </c>
      <c r="L51" s="76">
        <v>0.0</v>
      </c>
      <c r="M51" s="79"/>
      <c r="N51" s="82"/>
      <c r="O51" s="85"/>
    </row>
    <row r="52">
      <c r="A52" s="55" t="s">
        <v>140</v>
      </c>
      <c r="B52" s="56" t="s">
        <v>141</v>
      </c>
      <c r="C52" s="58" t="s">
        <v>91</v>
      </c>
      <c r="D52" s="60">
        <v>4.0</v>
      </c>
      <c r="E52" s="66">
        <f t="shared" si="1"/>
        <v>1</v>
      </c>
      <c r="F52" s="68">
        <f t="shared" si="2"/>
        <v>4</v>
      </c>
      <c r="G52" s="68">
        <f t="shared" si="3"/>
        <v>0</v>
      </c>
      <c r="H52" s="72">
        <f t="shared" si="4"/>
        <v>0</v>
      </c>
      <c r="I52" s="73">
        <v>1.0</v>
      </c>
      <c r="J52" s="74"/>
      <c r="K52" s="75">
        <v>0.1</v>
      </c>
      <c r="L52" s="76">
        <v>0.0</v>
      </c>
      <c r="M52" s="79"/>
      <c r="N52" s="82"/>
      <c r="O52" s="85"/>
    </row>
    <row r="53">
      <c r="A53" s="55" t="s">
        <v>140</v>
      </c>
      <c r="B53" s="56"/>
      <c r="C53" s="159" t="s">
        <v>286</v>
      </c>
      <c r="D53" s="60">
        <v>3.0</v>
      </c>
      <c r="E53" s="66">
        <f t="shared" si="1"/>
        <v>1</v>
      </c>
      <c r="F53" s="68">
        <f t="shared" si="2"/>
        <v>3</v>
      </c>
      <c r="G53" s="68">
        <f t="shared" si="3"/>
        <v>0</v>
      </c>
      <c r="H53" s="72">
        <f t="shared" si="4"/>
        <v>0</v>
      </c>
      <c r="I53" s="73">
        <v>1.0</v>
      </c>
      <c r="J53" s="74"/>
      <c r="K53" s="75">
        <v>0.1</v>
      </c>
      <c r="L53" s="76">
        <v>0.0</v>
      </c>
      <c r="M53" s="79"/>
      <c r="N53" s="82"/>
      <c r="O53" s="85"/>
    </row>
    <row r="54">
      <c r="A54" s="55" t="s">
        <v>140</v>
      </c>
      <c r="B54" s="56"/>
      <c r="C54" s="159" t="s">
        <v>295</v>
      </c>
      <c r="D54" s="60">
        <v>2.0</v>
      </c>
      <c r="E54" s="66">
        <f t="shared" si="1"/>
        <v>1</v>
      </c>
      <c r="F54" s="68">
        <f t="shared" si="2"/>
        <v>2</v>
      </c>
      <c r="G54" s="68">
        <f t="shared" si="3"/>
        <v>0</v>
      </c>
      <c r="H54" s="72">
        <f t="shared" si="4"/>
        <v>0</v>
      </c>
      <c r="I54" s="73">
        <v>1.0</v>
      </c>
      <c r="J54" s="74"/>
      <c r="K54" s="75">
        <v>0.1</v>
      </c>
      <c r="L54" s="76">
        <v>0.0</v>
      </c>
      <c r="M54" s="79"/>
      <c r="N54" s="82"/>
      <c r="O54" s="85"/>
    </row>
    <row r="55">
      <c r="A55" s="55" t="s">
        <v>303</v>
      </c>
      <c r="B55" s="56" t="s">
        <v>141</v>
      </c>
      <c r="C55" s="58" t="s">
        <v>83</v>
      </c>
      <c r="D55" s="60">
        <v>4.0</v>
      </c>
      <c r="E55" s="66">
        <f t="shared" si="1"/>
        <v>1</v>
      </c>
      <c r="F55" s="68">
        <f t="shared" si="2"/>
        <v>4</v>
      </c>
      <c r="G55" s="68">
        <f t="shared" si="3"/>
        <v>0</v>
      </c>
      <c r="H55" s="72">
        <f t="shared" si="4"/>
        <v>0</v>
      </c>
      <c r="I55" s="73">
        <v>1.0</v>
      </c>
      <c r="J55" s="74"/>
      <c r="K55" s="75">
        <v>0.1</v>
      </c>
      <c r="L55" s="76">
        <v>0.0</v>
      </c>
      <c r="M55" s="79"/>
      <c r="N55" s="82"/>
      <c r="O55" s="85"/>
    </row>
    <row r="56">
      <c r="A56" s="55" t="s">
        <v>140</v>
      </c>
      <c r="B56" s="56"/>
      <c r="C56" s="159" t="s">
        <v>315</v>
      </c>
      <c r="D56" s="60">
        <v>3.0</v>
      </c>
      <c r="E56" s="66">
        <f t="shared" si="1"/>
        <v>1</v>
      </c>
      <c r="F56" s="68">
        <f t="shared" si="2"/>
        <v>3</v>
      </c>
      <c r="G56" s="68">
        <f t="shared" si="3"/>
        <v>0</v>
      </c>
      <c r="H56" s="72">
        <f t="shared" si="4"/>
        <v>0</v>
      </c>
      <c r="I56" s="73">
        <v>1.0</v>
      </c>
      <c r="J56" s="74"/>
      <c r="K56" s="75">
        <v>0.1</v>
      </c>
      <c r="L56" s="76">
        <v>0.0</v>
      </c>
      <c r="M56" s="79"/>
      <c r="N56" s="82"/>
      <c r="O56" s="85"/>
    </row>
    <row r="57">
      <c r="A57" s="55" t="s">
        <v>140</v>
      </c>
      <c r="B57" s="56"/>
      <c r="C57" s="159" t="s">
        <v>323</v>
      </c>
      <c r="D57" s="60">
        <v>2.0</v>
      </c>
      <c r="E57" s="66">
        <f t="shared" si="1"/>
        <v>1</v>
      </c>
      <c r="F57" s="68">
        <f t="shared" si="2"/>
        <v>2</v>
      </c>
      <c r="G57" s="68">
        <f t="shared" si="3"/>
        <v>0</v>
      </c>
      <c r="H57" s="72">
        <f t="shared" si="4"/>
        <v>0</v>
      </c>
      <c r="I57" s="73">
        <v>1.0</v>
      </c>
      <c r="J57" s="74"/>
      <c r="K57" s="75">
        <v>0.1</v>
      </c>
      <c r="L57" s="76">
        <v>0.0</v>
      </c>
      <c r="M57" s="79"/>
      <c r="N57" s="82"/>
      <c r="O57" s="85"/>
    </row>
    <row r="58">
      <c r="A58" s="55" t="s">
        <v>303</v>
      </c>
      <c r="B58" s="56" t="s">
        <v>141</v>
      </c>
      <c r="C58" s="58" t="s">
        <v>331</v>
      </c>
      <c r="D58" s="60">
        <v>4.0</v>
      </c>
      <c r="E58" s="66">
        <f t="shared" si="1"/>
        <v>1</v>
      </c>
      <c r="F58" s="68">
        <f t="shared" si="2"/>
        <v>4</v>
      </c>
      <c r="G58" s="68">
        <f t="shared" si="3"/>
        <v>0</v>
      </c>
      <c r="H58" s="72">
        <f t="shared" si="4"/>
        <v>0</v>
      </c>
      <c r="I58" s="73">
        <v>1.0</v>
      </c>
      <c r="J58" s="74"/>
      <c r="K58" s="75">
        <v>0.1</v>
      </c>
      <c r="L58" s="76">
        <v>0.0</v>
      </c>
      <c r="M58" s="79"/>
      <c r="N58" s="82"/>
      <c r="O58" s="85"/>
    </row>
    <row r="59">
      <c r="A59" s="55" t="s">
        <v>140</v>
      </c>
      <c r="B59" s="56"/>
      <c r="C59" s="159" t="s">
        <v>336</v>
      </c>
      <c r="D59" s="60">
        <v>3.0</v>
      </c>
      <c r="E59" s="66">
        <f t="shared" si="1"/>
        <v>1</v>
      </c>
      <c r="F59" s="68">
        <f t="shared" si="2"/>
        <v>3</v>
      </c>
      <c r="G59" s="68">
        <f t="shared" si="3"/>
        <v>0</v>
      </c>
      <c r="H59" s="72">
        <f t="shared" si="4"/>
        <v>0</v>
      </c>
      <c r="I59" s="73">
        <v>1.0</v>
      </c>
      <c r="J59" s="74"/>
      <c r="K59" s="75">
        <v>0.1</v>
      </c>
      <c r="L59" s="76">
        <v>0.0</v>
      </c>
      <c r="M59" s="79"/>
      <c r="N59" s="82"/>
      <c r="O59" s="85"/>
    </row>
    <row r="60">
      <c r="A60" s="55" t="s">
        <v>140</v>
      </c>
      <c r="B60" s="56"/>
      <c r="C60" s="159" t="s">
        <v>346</v>
      </c>
      <c r="D60" s="60">
        <v>2.0</v>
      </c>
      <c r="E60" s="66">
        <f t="shared" si="1"/>
        <v>1</v>
      </c>
      <c r="F60" s="68">
        <f t="shared" si="2"/>
        <v>2</v>
      </c>
      <c r="G60" s="68">
        <f t="shared" si="3"/>
        <v>0</v>
      </c>
      <c r="H60" s="72">
        <f t="shared" si="4"/>
        <v>0</v>
      </c>
      <c r="I60" s="73">
        <v>1.0</v>
      </c>
      <c r="J60" s="74"/>
      <c r="K60" s="75">
        <v>0.1</v>
      </c>
      <c r="L60" s="76">
        <v>0.0</v>
      </c>
      <c r="M60" s="79"/>
      <c r="N60" s="82"/>
      <c r="O60" s="85"/>
    </row>
    <row r="61">
      <c r="A61" s="55" t="s">
        <v>140</v>
      </c>
      <c r="B61" s="56" t="s">
        <v>182</v>
      </c>
      <c r="C61" s="58" t="s">
        <v>244</v>
      </c>
      <c r="D61" s="60">
        <v>5.0</v>
      </c>
      <c r="E61" s="66">
        <f t="shared" si="1"/>
        <v>1</v>
      </c>
      <c r="F61" s="68">
        <f t="shared" si="2"/>
        <v>5</v>
      </c>
      <c r="G61" s="68">
        <f t="shared" si="3"/>
        <v>0</v>
      </c>
      <c r="H61" s="72">
        <f t="shared" si="4"/>
        <v>0</v>
      </c>
      <c r="I61" s="73">
        <v>1.0</v>
      </c>
      <c r="J61" s="74"/>
      <c r="K61" s="75">
        <v>0.1</v>
      </c>
      <c r="L61" s="76">
        <v>0.0</v>
      </c>
      <c r="M61" s="79"/>
      <c r="N61" s="82"/>
      <c r="O61" s="85"/>
    </row>
    <row r="62">
      <c r="A62" s="55" t="s">
        <v>140</v>
      </c>
      <c r="B62" s="56"/>
      <c r="C62" s="159" t="s">
        <v>360</v>
      </c>
      <c r="D62" s="60">
        <v>4.0</v>
      </c>
      <c r="E62" s="66">
        <f t="shared" si="1"/>
        <v>1</v>
      </c>
      <c r="F62" s="68">
        <f t="shared" si="2"/>
        <v>4</v>
      </c>
      <c r="G62" s="68">
        <f t="shared" si="3"/>
        <v>0</v>
      </c>
      <c r="H62" s="72">
        <f t="shared" si="4"/>
        <v>0</v>
      </c>
      <c r="I62" s="73">
        <v>1.0</v>
      </c>
      <c r="J62" s="74"/>
      <c r="K62" s="75">
        <v>0.1</v>
      </c>
      <c r="L62" s="76">
        <v>0.0</v>
      </c>
      <c r="M62" s="79"/>
      <c r="N62" s="82"/>
      <c r="O62" s="85"/>
    </row>
    <row r="63">
      <c r="A63" s="55" t="s">
        <v>140</v>
      </c>
      <c r="B63" s="56"/>
      <c r="C63" s="159" t="s">
        <v>369</v>
      </c>
      <c r="D63" s="60">
        <v>3.0</v>
      </c>
      <c r="E63" s="66">
        <f t="shared" si="1"/>
        <v>1</v>
      </c>
      <c r="F63" s="68">
        <f t="shared" si="2"/>
        <v>3</v>
      </c>
      <c r="G63" s="68">
        <f t="shared" si="3"/>
        <v>0</v>
      </c>
      <c r="H63" s="72">
        <f t="shared" si="4"/>
        <v>0</v>
      </c>
      <c r="I63" s="73">
        <v>1.0</v>
      </c>
      <c r="J63" s="74"/>
      <c r="K63" s="75">
        <v>0.1</v>
      </c>
      <c r="L63" s="76">
        <v>0.0</v>
      </c>
      <c r="M63" s="79"/>
      <c r="N63" s="82"/>
      <c r="O63" s="85"/>
    </row>
    <row r="64">
      <c r="A64" s="55" t="s">
        <v>140</v>
      </c>
      <c r="B64" s="56" t="s">
        <v>141</v>
      </c>
      <c r="C64" s="58" t="s">
        <v>344</v>
      </c>
      <c r="D64" s="60">
        <v>5.0</v>
      </c>
      <c r="E64" s="66">
        <f t="shared" si="1"/>
        <v>1</v>
      </c>
      <c r="F64" s="68">
        <f t="shared" si="2"/>
        <v>5</v>
      </c>
      <c r="G64" s="68">
        <f t="shared" si="3"/>
        <v>0</v>
      </c>
      <c r="H64" s="72">
        <f t="shared" si="4"/>
        <v>0</v>
      </c>
      <c r="I64" s="73">
        <v>1.0</v>
      </c>
      <c r="J64" s="74"/>
      <c r="K64" s="75">
        <v>0.1</v>
      </c>
      <c r="L64" s="76">
        <v>0.0</v>
      </c>
      <c r="M64" s="79"/>
      <c r="N64" s="82"/>
      <c r="O64" s="85"/>
    </row>
    <row r="65">
      <c r="A65" s="55" t="s">
        <v>140</v>
      </c>
      <c r="B65" s="56"/>
      <c r="C65" s="159" t="s">
        <v>387</v>
      </c>
      <c r="D65" s="67">
        <v>3.5</v>
      </c>
      <c r="E65" s="66">
        <f t="shared" si="1"/>
        <v>1</v>
      </c>
      <c r="F65" s="70">
        <f t="shared" si="2"/>
        <v>3.5</v>
      </c>
      <c r="G65" s="70">
        <f t="shared" si="3"/>
        <v>0</v>
      </c>
      <c r="H65" s="77">
        <f t="shared" si="4"/>
        <v>0</v>
      </c>
      <c r="I65" s="78">
        <v>1.0</v>
      </c>
      <c r="J65" s="80"/>
      <c r="K65" s="84">
        <v>0.1</v>
      </c>
      <c r="L65" s="163">
        <v>0.0</v>
      </c>
      <c r="M65" s="88"/>
      <c r="N65" s="90"/>
      <c r="O65" s="91"/>
    </row>
    <row r="66">
      <c r="A66" s="55" t="s">
        <v>140</v>
      </c>
      <c r="B66" s="56"/>
      <c r="C66" s="159" t="s">
        <v>392</v>
      </c>
      <c r="D66" s="67">
        <v>2.5</v>
      </c>
      <c r="E66" s="66">
        <f t="shared" si="1"/>
        <v>1</v>
      </c>
      <c r="F66" s="70">
        <f t="shared" si="2"/>
        <v>2.5</v>
      </c>
      <c r="G66" s="70">
        <f t="shared" si="3"/>
        <v>0</v>
      </c>
      <c r="H66" s="77">
        <f t="shared" si="4"/>
        <v>0</v>
      </c>
      <c r="I66" s="78">
        <v>1.0</v>
      </c>
      <c r="J66" s="80"/>
      <c r="K66" s="84">
        <v>0.1</v>
      </c>
      <c r="L66" s="163">
        <v>0.0</v>
      </c>
      <c r="M66" s="88"/>
      <c r="N66" s="90"/>
      <c r="O66" s="91"/>
    </row>
    <row r="67">
      <c r="A67" s="55" t="s">
        <v>140</v>
      </c>
      <c r="B67" s="56" t="s">
        <v>141</v>
      </c>
      <c r="C67" s="58" t="s">
        <v>70</v>
      </c>
      <c r="D67" s="60">
        <v>4.0</v>
      </c>
      <c r="E67" s="66">
        <f t="shared" si="1"/>
        <v>1</v>
      </c>
      <c r="F67" s="68">
        <f t="shared" si="2"/>
        <v>4</v>
      </c>
      <c r="G67" s="68">
        <f t="shared" si="3"/>
        <v>0</v>
      </c>
      <c r="H67" s="72">
        <f t="shared" si="4"/>
        <v>0</v>
      </c>
      <c r="I67" s="73">
        <v>1.0</v>
      </c>
      <c r="J67" s="74"/>
      <c r="K67" s="75">
        <v>0.1</v>
      </c>
      <c r="L67" s="76">
        <v>0.0</v>
      </c>
      <c r="M67" s="79"/>
      <c r="N67" s="82"/>
      <c r="O67" s="85"/>
    </row>
    <row r="68">
      <c r="A68" s="55" t="s">
        <v>140</v>
      </c>
      <c r="B68" s="56"/>
      <c r="C68" s="159" t="s">
        <v>395</v>
      </c>
      <c r="D68" s="60">
        <v>3.0</v>
      </c>
      <c r="E68" s="66">
        <f t="shared" si="1"/>
        <v>1</v>
      </c>
      <c r="F68" s="68">
        <f t="shared" si="2"/>
        <v>3</v>
      </c>
      <c r="G68" s="68">
        <f t="shared" si="3"/>
        <v>0</v>
      </c>
      <c r="H68" s="72">
        <f t="shared" si="4"/>
        <v>0</v>
      </c>
      <c r="I68" s="73">
        <v>1.0</v>
      </c>
      <c r="J68" s="74"/>
      <c r="K68" s="75">
        <v>0.1</v>
      </c>
      <c r="L68" s="76">
        <v>0.0</v>
      </c>
      <c r="M68" s="79"/>
      <c r="N68" s="82"/>
      <c r="O68" s="85"/>
    </row>
    <row r="69">
      <c r="A69" s="55" t="s">
        <v>140</v>
      </c>
      <c r="B69" s="56"/>
      <c r="C69" s="159" t="s">
        <v>397</v>
      </c>
      <c r="D69" s="60">
        <v>2.0</v>
      </c>
      <c r="E69" s="66">
        <f t="shared" si="1"/>
        <v>1</v>
      </c>
      <c r="F69" s="68">
        <f t="shared" si="2"/>
        <v>2</v>
      </c>
      <c r="G69" s="68">
        <f t="shared" si="3"/>
        <v>0</v>
      </c>
      <c r="H69" s="72">
        <f t="shared" si="4"/>
        <v>0</v>
      </c>
      <c r="I69" s="73">
        <v>1.0</v>
      </c>
      <c r="J69" s="74"/>
      <c r="K69" s="75">
        <v>0.1</v>
      </c>
      <c r="L69" s="76">
        <v>0.0</v>
      </c>
      <c r="M69" s="79"/>
      <c r="N69" s="82"/>
      <c r="O69" s="85"/>
    </row>
    <row r="70">
      <c r="A70" s="55" t="s">
        <v>140</v>
      </c>
      <c r="B70" s="56" t="s">
        <v>141</v>
      </c>
      <c r="C70" s="58" t="s">
        <v>351</v>
      </c>
      <c r="D70" s="60">
        <v>4.0</v>
      </c>
      <c r="E70" s="66">
        <f t="shared" si="1"/>
        <v>1</v>
      </c>
      <c r="F70" s="68">
        <f t="shared" si="2"/>
        <v>4</v>
      </c>
      <c r="G70" s="68">
        <f t="shared" si="3"/>
        <v>0</v>
      </c>
      <c r="H70" s="72">
        <f t="shared" si="4"/>
        <v>0</v>
      </c>
      <c r="I70" s="73">
        <v>1.0</v>
      </c>
      <c r="J70" s="74"/>
      <c r="K70" s="75">
        <v>0.1</v>
      </c>
      <c r="L70" s="76">
        <v>0.0</v>
      </c>
      <c r="M70" s="79"/>
      <c r="N70" s="82"/>
      <c r="O70" s="85"/>
    </row>
    <row r="71">
      <c r="A71" s="55" t="s">
        <v>140</v>
      </c>
      <c r="B71" s="56"/>
      <c r="C71" s="159" t="s">
        <v>401</v>
      </c>
      <c r="D71" s="60">
        <v>3.0</v>
      </c>
      <c r="E71" s="66">
        <f t="shared" si="1"/>
        <v>1</v>
      </c>
      <c r="F71" s="68">
        <f t="shared" si="2"/>
        <v>3</v>
      </c>
      <c r="G71" s="68">
        <f t="shared" si="3"/>
        <v>0</v>
      </c>
      <c r="H71" s="72">
        <f t="shared" si="4"/>
        <v>0</v>
      </c>
      <c r="I71" s="73">
        <v>1.0</v>
      </c>
      <c r="J71" s="74"/>
      <c r="K71" s="75">
        <v>0.1</v>
      </c>
      <c r="L71" s="76">
        <v>0.0</v>
      </c>
      <c r="M71" s="79"/>
      <c r="N71" s="82"/>
      <c r="O71" s="85"/>
    </row>
    <row r="72">
      <c r="A72" s="55" t="s">
        <v>140</v>
      </c>
      <c r="B72" s="56"/>
      <c r="C72" s="159" t="s">
        <v>404</v>
      </c>
      <c r="D72" s="60">
        <v>2.0</v>
      </c>
      <c r="E72" s="66">
        <f t="shared" si="1"/>
        <v>1</v>
      </c>
      <c r="F72" s="68">
        <f t="shared" si="2"/>
        <v>2</v>
      </c>
      <c r="G72" s="68">
        <f t="shared" si="3"/>
        <v>0</v>
      </c>
      <c r="H72" s="72">
        <f t="shared" si="4"/>
        <v>0</v>
      </c>
      <c r="I72" s="73">
        <v>1.0</v>
      </c>
      <c r="J72" s="74"/>
      <c r="K72" s="75">
        <v>0.1</v>
      </c>
      <c r="L72" s="76">
        <v>0.0</v>
      </c>
      <c r="M72" s="79"/>
      <c r="N72" s="82"/>
      <c r="O72" s="85"/>
    </row>
    <row r="73">
      <c r="A73" s="55" t="s">
        <v>140</v>
      </c>
      <c r="B73" s="56" t="s">
        <v>141</v>
      </c>
      <c r="C73" s="58" t="s">
        <v>406</v>
      </c>
      <c r="D73" s="60">
        <v>5.0</v>
      </c>
      <c r="E73" s="66">
        <f t="shared" si="1"/>
        <v>1</v>
      </c>
      <c r="F73" s="68">
        <f t="shared" si="2"/>
        <v>5</v>
      </c>
      <c r="G73" s="68">
        <f t="shared" si="3"/>
        <v>0</v>
      </c>
      <c r="H73" s="72">
        <f t="shared" si="4"/>
        <v>0</v>
      </c>
      <c r="I73" s="73">
        <v>1.0</v>
      </c>
      <c r="J73" s="74"/>
      <c r="K73" s="75">
        <v>0.1</v>
      </c>
      <c r="L73" s="76">
        <v>0.0</v>
      </c>
      <c r="M73" s="79"/>
      <c r="N73" s="82"/>
      <c r="O73" s="85"/>
    </row>
    <row r="74">
      <c r="A74" s="55" t="s">
        <v>140</v>
      </c>
      <c r="B74" s="56"/>
      <c r="C74" s="159" t="s">
        <v>410</v>
      </c>
      <c r="D74" s="67">
        <v>3.5</v>
      </c>
      <c r="E74" s="66">
        <f t="shared" si="1"/>
        <v>1</v>
      </c>
      <c r="F74" s="70">
        <f t="shared" si="2"/>
        <v>3.5</v>
      </c>
      <c r="G74" s="70">
        <f t="shared" si="3"/>
        <v>0</v>
      </c>
      <c r="H74" s="77">
        <f t="shared" si="4"/>
        <v>0</v>
      </c>
      <c r="I74" s="78">
        <v>1.0</v>
      </c>
      <c r="J74" s="80"/>
      <c r="K74" s="84">
        <v>0.1</v>
      </c>
      <c r="L74" s="163">
        <v>0.0</v>
      </c>
      <c r="M74" s="88"/>
      <c r="N74" s="90"/>
      <c r="O74" s="91"/>
    </row>
    <row r="75">
      <c r="A75" s="55" t="s">
        <v>140</v>
      </c>
      <c r="B75" s="56"/>
      <c r="C75" s="159" t="s">
        <v>413</v>
      </c>
      <c r="D75" s="67">
        <v>2.5</v>
      </c>
      <c r="E75" s="66">
        <f t="shared" si="1"/>
        <v>1</v>
      </c>
      <c r="F75" s="70">
        <f t="shared" si="2"/>
        <v>2.5</v>
      </c>
      <c r="G75" s="70">
        <f t="shared" si="3"/>
        <v>0</v>
      </c>
      <c r="H75" s="77">
        <f t="shared" si="4"/>
        <v>0</v>
      </c>
      <c r="I75" s="78">
        <v>1.0</v>
      </c>
      <c r="J75" s="80"/>
      <c r="K75" s="84">
        <v>0.1</v>
      </c>
      <c r="L75" s="163">
        <v>0.0</v>
      </c>
      <c r="M75" s="88"/>
      <c r="N75" s="90"/>
      <c r="O75" s="91"/>
    </row>
    <row r="76">
      <c r="A76" s="55" t="s">
        <v>140</v>
      </c>
      <c r="B76" s="56" t="s">
        <v>182</v>
      </c>
      <c r="C76" s="58" t="s">
        <v>415</v>
      </c>
      <c r="D76" s="60">
        <v>5.0</v>
      </c>
      <c r="E76" s="66">
        <f t="shared" si="1"/>
        <v>1</v>
      </c>
      <c r="F76" s="68">
        <f t="shared" si="2"/>
        <v>5</v>
      </c>
      <c r="G76" s="68">
        <f t="shared" si="3"/>
        <v>0</v>
      </c>
      <c r="H76" s="72">
        <f t="shared" si="4"/>
        <v>0</v>
      </c>
      <c r="I76" s="73">
        <v>1.0</v>
      </c>
      <c r="J76" s="74"/>
      <c r="K76" s="75">
        <v>0.1</v>
      </c>
      <c r="L76" s="76">
        <v>0.0</v>
      </c>
      <c r="M76" s="79"/>
      <c r="N76" s="82"/>
      <c r="O76" s="85"/>
    </row>
    <row r="77">
      <c r="A77" s="55" t="s">
        <v>140</v>
      </c>
      <c r="B77" s="56"/>
      <c r="C77" s="159" t="s">
        <v>416</v>
      </c>
      <c r="D77" s="60">
        <v>4.0</v>
      </c>
      <c r="E77" s="66">
        <f t="shared" si="1"/>
        <v>1</v>
      </c>
      <c r="F77" s="68">
        <f t="shared" si="2"/>
        <v>4</v>
      </c>
      <c r="G77" s="68">
        <f t="shared" si="3"/>
        <v>0</v>
      </c>
      <c r="H77" s="72">
        <f t="shared" si="4"/>
        <v>0</v>
      </c>
      <c r="I77" s="73">
        <v>1.0</v>
      </c>
      <c r="J77" s="74"/>
      <c r="K77" s="75">
        <v>0.1</v>
      </c>
      <c r="L77" s="76">
        <v>0.0</v>
      </c>
      <c r="M77" s="79"/>
      <c r="N77" s="82"/>
      <c r="O77" s="85"/>
    </row>
    <row r="78">
      <c r="A78" s="55" t="s">
        <v>140</v>
      </c>
      <c r="B78" s="56"/>
      <c r="C78" s="159" t="s">
        <v>419</v>
      </c>
      <c r="D78" s="60">
        <v>3.0</v>
      </c>
      <c r="E78" s="66">
        <f t="shared" si="1"/>
        <v>1</v>
      </c>
      <c r="F78" s="68">
        <f t="shared" si="2"/>
        <v>3</v>
      </c>
      <c r="G78" s="68">
        <f t="shared" si="3"/>
        <v>0</v>
      </c>
      <c r="H78" s="72">
        <f t="shared" si="4"/>
        <v>0</v>
      </c>
      <c r="I78" s="73">
        <v>1.0</v>
      </c>
      <c r="J78" s="74"/>
      <c r="K78" s="75">
        <v>0.1</v>
      </c>
      <c r="L78" s="76">
        <v>0.0</v>
      </c>
      <c r="M78" s="79"/>
      <c r="N78" s="82"/>
      <c r="O78" s="85"/>
    </row>
    <row r="79">
      <c r="A79" s="55" t="s">
        <v>140</v>
      </c>
      <c r="B79" s="56" t="s">
        <v>182</v>
      </c>
      <c r="C79" s="58" t="s">
        <v>421</v>
      </c>
      <c r="D79" s="60">
        <v>5.0</v>
      </c>
      <c r="E79" s="66">
        <f t="shared" si="1"/>
        <v>1</v>
      </c>
      <c r="F79" s="68">
        <f t="shared" si="2"/>
        <v>5</v>
      </c>
      <c r="G79" s="68">
        <f t="shared" si="3"/>
        <v>0</v>
      </c>
      <c r="H79" s="72">
        <f t="shared" si="4"/>
        <v>0</v>
      </c>
      <c r="I79" s="73">
        <v>1.0</v>
      </c>
      <c r="J79" s="74"/>
      <c r="K79" s="75">
        <v>0.1</v>
      </c>
      <c r="L79" s="76">
        <v>0.0</v>
      </c>
      <c r="M79" s="79"/>
      <c r="N79" s="82"/>
      <c r="O79" s="85"/>
    </row>
    <row r="80">
      <c r="A80" s="55" t="s">
        <v>140</v>
      </c>
      <c r="B80" s="56"/>
      <c r="C80" s="159" t="s">
        <v>424</v>
      </c>
      <c r="D80" s="60">
        <v>4.0</v>
      </c>
      <c r="E80" s="66">
        <f t="shared" si="1"/>
        <v>1</v>
      </c>
      <c r="F80" s="68">
        <f t="shared" si="2"/>
        <v>4</v>
      </c>
      <c r="G80" s="68">
        <f t="shared" si="3"/>
        <v>0</v>
      </c>
      <c r="H80" s="72">
        <f t="shared" si="4"/>
        <v>0</v>
      </c>
      <c r="I80" s="73">
        <v>1.0</v>
      </c>
      <c r="J80" s="74"/>
      <c r="K80" s="75">
        <v>0.1</v>
      </c>
      <c r="L80" s="76">
        <v>0.0</v>
      </c>
      <c r="M80" s="79"/>
      <c r="N80" s="82"/>
      <c r="O80" s="85"/>
    </row>
    <row r="81">
      <c r="A81" s="55" t="s">
        <v>140</v>
      </c>
      <c r="B81" s="56"/>
      <c r="C81" s="159" t="s">
        <v>426</v>
      </c>
      <c r="D81" s="60">
        <v>3.0</v>
      </c>
      <c r="E81" s="66">
        <f t="shared" si="1"/>
        <v>1</v>
      </c>
      <c r="F81" s="68">
        <f t="shared" si="2"/>
        <v>3</v>
      </c>
      <c r="G81" s="68">
        <f t="shared" si="3"/>
        <v>0</v>
      </c>
      <c r="H81" s="72">
        <f t="shared" si="4"/>
        <v>0</v>
      </c>
      <c r="I81" s="73">
        <v>1.0</v>
      </c>
      <c r="J81" s="74"/>
      <c r="K81" s="75">
        <v>0.1</v>
      </c>
      <c r="L81" s="76">
        <v>0.0</v>
      </c>
      <c r="M81" s="79"/>
      <c r="N81" s="82"/>
      <c r="O81" s="85"/>
    </row>
    <row r="82">
      <c r="A82" s="55" t="s">
        <v>140</v>
      </c>
      <c r="B82" s="56" t="s">
        <v>182</v>
      </c>
      <c r="C82" s="58" t="s">
        <v>430</v>
      </c>
      <c r="D82" s="60">
        <v>3.5</v>
      </c>
      <c r="E82" s="66">
        <f t="shared" si="1"/>
        <v>1</v>
      </c>
      <c r="F82" s="68">
        <f t="shared" si="2"/>
        <v>3.5</v>
      </c>
      <c r="G82" s="68">
        <f t="shared" si="3"/>
        <v>0</v>
      </c>
      <c r="H82" s="72">
        <f t="shared" si="4"/>
        <v>0</v>
      </c>
      <c r="I82" s="73">
        <v>1.0</v>
      </c>
      <c r="J82" s="74"/>
      <c r="K82" s="75">
        <v>0.1</v>
      </c>
      <c r="L82" s="76">
        <v>0.0</v>
      </c>
      <c r="M82" s="79"/>
      <c r="N82" s="82"/>
      <c r="O82" s="85"/>
    </row>
    <row r="83">
      <c r="A83" s="55" t="s">
        <v>140</v>
      </c>
      <c r="B83" s="56" t="s">
        <v>182</v>
      </c>
      <c r="C83" s="58" t="s">
        <v>431</v>
      </c>
      <c r="D83" s="60">
        <v>4.0</v>
      </c>
      <c r="E83" s="66">
        <f t="shared" si="1"/>
        <v>1</v>
      </c>
      <c r="F83" s="68">
        <f t="shared" si="2"/>
        <v>4</v>
      </c>
      <c r="G83" s="68">
        <f t="shared" si="3"/>
        <v>0</v>
      </c>
      <c r="H83" s="72">
        <f t="shared" si="4"/>
        <v>0</v>
      </c>
      <c r="I83" s="73">
        <v>1.0</v>
      </c>
      <c r="J83" s="74"/>
      <c r="K83" s="75">
        <v>0.1</v>
      </c>
      <c r="L83" s="76">
        <v>0.0</v>
      </c>
      <c r="M83" s="79"/>
      <c r="N83" s="82"/>
      <c r="O83" s="85"/>
    </row>
    <row r="84">
      <c r="A84" s="55" t="s">
        <v>140</v>
      </c>
      <c r="B84" s="56" t="s">
        <v>141</v>
      </c>
      <c r="C84" s="58" t="s">
        <v>105</v>
      </c>
      <c r="D84" s="60">
        <v>8.0</v>
      </c>
      <c r="E84" s="66">
        <f t="shared" si="1"/>
        <v>1</v>
      </c>
      <c r="F84" s="68">
        <f t="shared" si="2"/>
        <v>8</v>
      </c>
      <c r="G84" s="68">
        <f t="shared" si="3"/>
        <v>0</v>
      </c>
      <c r="H84" s="72">
        <f t="shared" si="4"/>
        <v>0</v>
      </c>
      <c r="I84" s="73">
        <v>1.0</v>
      </c>
      <c r="J84" s="74"/>
      <c r="K84" s="75">
        <v>0.1</v>
      </c>
      <c r="L84" s="76">
        <v>0.0</v>
      </c>
      <c r="M84" s="79"/>
      <c r="N84" s="82"/>
      <c r="O84" s="85"/>
    </row>
    <row r="85">
      <c r="A85" s="55" t="s">
        <v>140</v>
      </c>
      <c r="B85" s="56" t="s">
        <v>182</v>
      </c>
      <c r="C85" s="58" t="s">
        <v>119</v>
      </c>
      <c r="D85" s="60">
        <v>4.0</v>
      </c>
      <c r="E85" s="66">
        <f t="shared" si="1"/>
        <v>1</v>
      </c>
      <c r="F85" s="68">
        <f t="shared" si="2"/>
        <v>4</v>
      </c>
      <c r="G85" s="68">
        <f t="shared" si="3"/>
        <v>0</v>
      </c>
      <c r="H85" s="72">
        <f t="shared" si="4"/>
        <v>0</v>
      </c>
      <c r="I85" s="73">
        <v>1.0</v>
      </c>
      <c r="J85" s="74"/>
      <c r="K85" s="75">
        <v>0.1</v>
      </c>
      <c r="L85" s="76">
        <v>0.0</v>
      </c>
      <c r="M85" s="79"/>
      <c r="N85" s="82"/>
      <c r="O85" s="85"/>
    </row>
    <row r="86">
      <c r="A86" s="55" t="s">
        <v>140</v>
      </c>
      <c r="B86" s="56"/>
      <c r="C86" s="159" t="s">
        <v>438</v>
      </c>
      <c r="D86" s="60">
        <v>3.0</v>
      </c>
      <c r="E86" s="66">
        <f t="shared" si="1"/>
        <v>1</v>
      </c>
      <c r="F86" s="68">
        <f t="shared" si="2"/>
        <v>3</v>
      </c>
      <c r="G86" s="68">
        <f t="shared" si="3"/>
        <v>0</v>
      </c>
      <c r="H86" s="72">
        <f t="shared" si="4"/>
        <v>0</v>
      </c>
      <c r="I86" s="73">
        <v>1.0</v>
      </c>
      <c r="J86" s="74"/>
      <c r="K86" s="75">
        <v>0.1</v>
      </c>
      <c r="L86" s="76">
        <v>0.0</v>
      </c>
      <c r="M86" s="79"/>
      <c r="N86" s="82"/>
      <c r="O86" s="85"/>
    </row>
    <row r="87">
      <c r="A87" s="55" t="s">
        <v>140</v>
      </c>
      <c r="B87" s="56"/>
      <c r="C87" s="159" t="s">
        <v>441</v>
      </c>
      <c r="D87" s="60">
        <v>2.0</v>
      </c>
      <c r="E87" s="66">
        <f t="shared" si="1"/>
        <v>1</v>
      </c>
      <c r="F87" s="68">
        <f t="shared" si="2"/>
        <v>2</v>
      </c>
      <c r="G87" s="68">
        <f t="shared" si="3"/>
        <v>0</v>
      </c>
      <c r="H87" s="72">
        <f t="shared" si="4"/>
        <v>0</v>
      </c>
      <c r="I87" s="73">
        <v>1.0</v>
      </c>
      <c r="J87" s="74"/>
      <c r="K87" s="75">
        <v>0.1</v>
      </c>
      <c r="L87" s="76">
        <v>0.0</v>
      </c>
      <c r="M87" s="79"/>
      <c r="N87" s="82"/>
      <c r="O87" s="85"/>
    </row>
    <row r="88">
      <c r="A88" s="55" t="s">
        <v>140</v>
      </c>
      <c r="B88" s="56" t="s">
        <v>182</v>
      </c>
      <c r="C88" s="58" t="s">
        <v>444</v>
      </c>
      <c r="D88" s="60">
        <v>6.0</v>
      </c>
      <c r="E88" s="66">
        <f t="shared" si="1"/>
        <v>1</v>
      </c>
      <c r="F88" s="68">
        <f t="shared" si="2"/>
        <v>6</v>
      </c>
      <c r="G88" s="68">
        <f t="shared" si="3"/>
        <v>0</v>
      </c>
      <c r="H88" s="72">
        <f t="shared" si="4"/>
        <v>0</v>
      </c>
      <c r="I88" s="73">
        <v>1.0</v>
      </c>
      <c r="J88" s="74"/>
      <c r="K88" s="75">
        <v>0.1</v>
      </c>
      <c r="L88" s="76">
        <v>0.0</v>
      </c>
      <c r="M88" s="79"/>
      <c r="N88" s="82"/>
      <c r="O88" s="85"/>
    </row>
    <row r="89">
      <c r="A89" s="55" t="s">
        <v>140</v>
      </c>
      <c r="B89" s="56"/>
      <c r="C89" s="159" t="s">
        <v>446</v>
      </c>
      <c r="D89" s="60">
        <v>4.5</v>
      </c>
      <c r="E89" s="66">
        <f t="shared" si="1"/>
        <v>1</v>
      </c>
      <c r="F89" s="68">
        <f t="shared" si="2"/>
        <v>4.5</v>
      </c>
      <c r="G89" s="68">
        <f t="shared" si="3"/>
        <v>0</v>
      </c>
      <c r="H89" s="72">
        <f t="shared" si="4"/>
        <v>0</v>
      </c>
      <c r="I89" s="73">
        <v>1.0</v>
      </c>
      <c r="J89" s="74"/>
      <c r="K89" s="75">
        <v>0.1</v>
      </c>
      <c r="L89" s="76">
        <v>0.0</v>
      </c>
      <c r="M89" s="79"/>
      <c r="N89" s="82"/>
      <c r="O89" s="85"/>
    </row>
    <row r="90">
      <c r="A90" s="55" t="s">
        <v>140</v>
      </c>
      <c r="B90" s="56"/>
      <c r="C90" s="159" t="s">
        <v>450</v>
      </c>
      <c r="D90" s="60">
        <v>3.0</v>
      </c>
      <c r="E90" s="66">
        <f t="shared" si="1"/>
        <v>1</v>
      </c>
      <c r="F90" s="68">
        <f t="shared" si="2"/>
        <v>3</v>
      </c>
      <c r="G90" s="68">
        <f t="shared" si="3"/>
        <v>0</v>
      </c>
      <c r="H90" s="72">
        <f t="shared" si="4"/>
        <v>0</v>
      </c>
      <c r="I90" s="73">
        <v>1.0</v>
      </c>
      <c r="J90" s="74"/>
      <c r="K90" s="75">
        <v>0.1</v>
      </c>
      <c r="L90" s="76">
        <v>0.0</v>
      </c>
      <c r="M90" s="79"/>
      <c r="N90" s="82"/>
      <c r="O90" s="85"/>
    </row>
    <row r="91">
      <c r="A91" s="55" t="s">
        <v>140</v>
      </c>
      <c r="B91" s="56" t="s">
        <v>141</v>
      </c>
      <c r="C91" s="64" t="s">
        <v>373</v>
      </c>
      <c r="D91" s="67">
        <v>5.0</v>
      </c>
      <c r="E91" s="66">
        <f t="shared" si="1"/>
        <v>1</v>
      </c>
      <c r="F91" s="70">
        <f t="shared" si="2"/>
        <v>5</v>
      </c>
      <c r="G91" s="70">
        <f t="shared" si="3"/>
        <v>0</v>
      </c>
      <c r="H91" s="77">
        <f t="shared" si="4"/>
        <v>0</v>
      </c>
      <c r="I91" s="78">
        <v>1.0</v>
      </c>
      <c r="J91" s="80"/>
      <c r="K91" s="84">
        <v>0.1</v>
      </c>
      <c r="L91" s="163">
        <v>0.0</v>
      </c>
      <c r="M91" s="88"/>
      <c r="N91" s="90"/>
      <c r="O91" s="91"/>
    </row>
    <row r="92">
      <c r="A92" s="55" t="s">
        <v>140</v>
      </c>
      <c r="B92" s="56"/>
      <c r="C92" s="124" t="s">
        <v>453</v>
      </c>
      <c r="D92" s="67">
        <v>4.0</v>
      </c>
      <c r="E92" s="66">
        <f t="shared" si="1"/>
        <v>1</v>
      </c>
      <c r="F92" s="70">
        <f t="shared" si="2"/>
        <v>4</v>
      </c>
      <c r="G92" s="70">
        <f t="shared" si="3"/>
        <v>0</v>
      </c>
      <c r="H92" s="77">
        <f t="shared" si="4"/>
        <v>0</v>
      </c>
      <c r="I92" s="78">
        <v>1.0</v>
      </c>
      <c r="J92" s="80"/>
      <c r="K92" s="84">
        <v>0.1</v>
      </c>
      <c r="L92" s="163">
        <v>0.0</v>
      </c>
      <c r="M92" s="88"/>
      <c r="N92" s="90"/>
      <c r="O92" s="91"/>
    </row>
    <row r="93">
      <c r="A93" s="55" t="s">
        <v>140</v>
      </c>
      <c r="B93" s="56" t="s">
        <v>141</v>
      </c>
      <c r="C93" s="58" t="s">
        <v>456</v>
      </c>
      <c r="D93" s="60">
        <v>5.0</v>
      </c>
      <c r="E93" s="66">
        <f t="shared" si="1"/>
        <v>1</v>
      </c>
      <c r="F93" s="68">
        <f t="shared" si="2"/>
        <v>5</v>
      </c>
      <c r="G93" s="68">
        <f t="shared" si="3"/>
        <v>0</v>
      </c>
      <c r="H93" s="72">
        <f t="shared" si="4"/>
        <v>0</v>
      </c>
      <c r="I93" s="73">
        <v>1.0</v>
      </c>
      <c r="J93" s="74"/>
      <c r="K93" s="75">
        <v>0.1</v>
      </c>
      <c r="L93" s="76">
        <v>0.0</v>
      </c>
      <c r="M93" s="79"/>
      <c r="N93" s="82"/>
      <c r="O93" s="85"/>
    </row>
    <row r="94">
      <c r="A94" s="55" t="s">
        <v>140</v>
      </c>
      <c r="B94" s="56"/>
      <c r="C94" s="159" t="s">
        <v>459</v>
      </c>
      <c r="D94" s="60">
        <v>3.5</v>
      </c>
      <c r="E94" s="66">
        <f t="shared" si="1"/>
        <v>1</v>
      </c>
      <c r="F94" s="68">
        <f t="shared" si="2"/>
        <v>3.5</v>
      </c>
      <c r="G94" s="68">
        <f t="shared" si="3"/>
        <v>0</v>
      </c>
      <c r="H94" s="72">
        <f t="shared" si="4"/>
        <v>0</v>
      </c>
      <c r="I94" s="73">
        <v>1.0</v>
      </c>
      <c r="J94" s="74"/>
      <c r="K94" s="75">
        <v>0.1</v>
      </c>
      <c r="L94" s="76">
        <v>0.0</v>
      </c>
      <c r="M94" s="79"/>
      <c r="N94" s="82"/>
      <c r="O94" s="85"/>
    </row>
    <row r="95">
      <c r="A95" s="55" t="s">
        <v>140</v>
      </c>
      <c r="B95" s="56" t="s">
        <v>141</v>
      </c>
      <c r="C95" s="58" t="s">
        <v>462</v>
      </c>
      <c r="D95" s="60">
        <v>5.0</v>
      </c>
      <c r="E95" s="66">
        <f t="shared" si="1"/>
        <v>1</v>
      </c>
      <c r="F95" s="68">
        <f t="shared" si="2"/>
        <v>5</v>
      </c>
      <c r="G95" s="68">
        <f t="shared" si="3"/>
        <v>0</v>
      </c>
      <c r="H95" s="72">
        <f t="shared" si="4"/>
        <v>0</v>
      </c>
      <c r="I95" s="73">
        <v>1.0</v>
      </c>
      <c r="J95" s="74"/>
      <c r="K95" s="75">
        <v>0.1</v>
      </c>
      <c r="L95" s="76">
        <v>0.0</v>
      </c>
      <c r="M95" s="79"/>
      <c r="N95" s="82"/>
      <c r="O95" s="85"/>
    </row>
    <row r="96">
      <c r="A96" s="55" t="s">
        <v>140</v>
      </c>
      <c r="B96" s="56"/>
      <c r="C96" s="159" t="s">
        <v>466</v>
      </c>
      <c r="D96" s="60">
        <v>3.5</v>
      </c>
      <c r="E96" s="66">
        <f t="shared" si="1"/>
        <v>1</v>
      </c>
      <c r="F96" s="68">
        <f t="shared" si="2"/>
        <v>3.5</v>
      </c>
      <c r="G96" s="68">
        <f t="shared" si="3"/>
        <v>0</v>
      </c>
      <c r="H96" s="72">
        <f t="shared" si="4"/>
        <v>0</v>
      </c>
      <c r="I96" s="73">
        <v>1.0</v>
      </c>
      <c r="J96" s="74"/>
      <c r="K96" s="75">
        <v>0.1</v>
      </c>
      <c r="L96" s="76">
        <v>0.0</v>
      </c>
      <c r="M96" s="79"/>
      <c r="N96" s="82"/>
      <c r="O96" s="85"/>
    </row>
    <row r="97">
      <c r="A97" s="55" t="s">
        <v>140</v>
      </c>
      <c r="B97" s="56" t="s">
        <v>141</v>
      </c>
      <c r="C97" s="58" t="s">
        <v>469</v>
      </c>
      <c r="D97" s="60">
        <v>4.0</v>
      </c>
      <c r="E97" s="66">
        <f t="shared" si="1"/>
        <v>1</v>
      </c>
      <c r="F97" s="68">
        <f t="shared" si="2"/>
        <v>4</v>
      </c>
      <c r="G97" s="68">
        <f t="shared" si="3"/>
        <v>0</v>
      </c>
      <c r="H97" s="72">
        <f t="shared" si="4"/>
        <v>0</v>
      </c>
      <c r="I97" s="73">
        <v>1.0</v>
      </c>
      <c r="J97" s="74"/>
      <c r="K97" s="75">
        <v>0.1</v>
      </c>
      <c r="L97" s="76">
        <v>0.0</v>
      </c>
      <c r="M97" s="79"/>
      <c r="N97" s="82"/>
      <c r="O97" s="85"/>
    </row>
    <row r="98">
      <c r="A98" s="55" t="s">
        <v>140</v>
      </c>
      <c r="B98" s="56"/>
      <c r="C98" s="159" t="s">
        <v>472</v>
      </c>
      <c r="D98" s="60">
        <v>3.0</v>
      </c>
      <c r="E98" s="66">
        <f t="shared" si="1"/>
        <v>1</v>
      </c>
      <c r="F98" s="68">
        <f t="shared" si="2"/>
        <v>3</v>
      </c>
      <c r="G98" s="68">
        <f t="shared" si="3"/>
        <v>0</v>
      </c>
      <c r="H98" s="72">
        <f t="shared" si="4"/>
        <v>0</v>
      </c>
      <c r="I98" s="73">
        <v>1.0</v>
      </c>
      <c r="J98" s="74"/>
      <c r="K98" s="75">
        <v>0.1</v>
      </c>
      <c r="L98" s="76">
        <v>0.0</v>
      </c>
      <c r="M98" s="79"/>
      <c r="N98" s="82"/>
      <c r="O98" s="85"/>
    </row>
    <row r="99">
      <c r="A99" s="55" t="s">
        <v>140</v>
      </c>
      <c r="B99" s="56" t="s">
        <v>182</v>
      </c>
      <c r="C99" s="58" t="s">
        <v>476</v>
      </c>
      <c r="D99" s="60">
        <v>4.0</v>
      </c>
      <c r="E99" s="66">
        <f t="shared" si="1"/>
        <v>1</v>
      </c>
      <c r="F99" s="68">
        <f t="shared" si="2"/>
        <v>4</v>
      </c>
      <c r="G99" s="68">
        <f t="shared" si="3"/>
        <v>0</v>
      </c>
      <c r="H99" s="72">
        <f t="shared" si="4"/>
        <v>0</v>
      </c>
      <c r="I99" s="73">
        <v>1.0</v>
      </c>
      <c r="J99" s="74"/>
      <c r="K99" s="75">
        <v>0.1</v>
      </c>
      <c r="L99" s="76">
        <v>0.0</v>
      </c>
      <c r="M99" s="79"/>
      <c r="N99" s="82"/>
      <c r="O99" s="85"/>
    </row>
    <row r="100">
      <c r="A100" s="55" t="s">
        <v>140</v>
      </c>
      <c r="B100" s="56"/>
      <c r="C100" s="159" t="s">
        <v>479</v>
      </c>
      <c r="D100" s="60">
        <v>3.0</v>
      </c>
      <c r="E100" s="66">
        <f t="shared" si="1"/>
        <v>1</v>
      </c>
      <c r="F100" s="68">
        <f t="shared" si="2"/>
        <v>3</v>
      </c>
      <c r="G100" s="68">
        <f t="shared" si="3"/>
        <v>0</v>
      </c>
      <c r="H100" s="72">
        <f t="shared" si="4"/>
        <v>0</v>
      </c>
      <c r="I100" s="73">
        <v>1.0</v>
      </c>
      <c r="J100" s="74"/>
      <c r="K100" s="75">
        <v>0.1</v>
      </c>
      <c r="L100" s="76">
        <v>0.0</v>
      </c>
      <c r="M100" s="79"/>
      <c r="N100" s="82"/>
      <c r="O100" s="85"/>
    </row>
    <row r="101">
      <c r="A101" s="208" t="s">
        <v>140</v>
      </c>
      <c r="B101" s="209"/>
      <c r="C101" s="224" t="s">
        <v>483</v>
      </c>
      <c r="D101" s="211">
        <v>2.5</v>
      </c>
      <c r="E101" s="212">
        <f t="shared" si="1"/>
        <v>1</v>
      </c>
      <c r="F101" s="213">
        <f t="shared" si="2"/>
        <v>2.5</v>
      </c>
      <c r="G101" s="213">
        <f t="shared" si="3"/>
        <v>0</v>
      </c>
      <c r="H101" s="214">
        <f t="shared" si="4"/>
        <v>0</v>
      </c>
      <c r="I101" s="215">
        <v>1.0</v>
      </c>
      <c r="J101" s="216"/>
      <c r="K101" s="217">
        <v>0.1</v>
      </c>
      <c r="L101" s="218">
        <v>0.0</v>
      </c>
      <c r="M101" s="219"/>
      <c r="N101" s="220"/>
      <c r="O101" s="221"/>
    </row>
    <row r="102">
      <c r="A102" s="56" t="s">
        <v>487</v>
      </c>
      <c r="B102" s="222"/>
      <c r="C102" s="58" t="s">
        <v>227</v>
      </c>
      <c r="D102" s="60">
        <v>0.5</v>
      </c>
      <c r="E102" s="66">
        <f t="shared" si="1"/>
        <v>1</v>
      </c>
      <c r="F102" s="68">
        <f t="shared" si="2"/>
        <v>0.5</v>
      </c>
      <c r="G102" s="68">
        <f t="shared" si="3"/>
        <v>0</v>
      </c>
      <c r="H102" s="72">
        <f t="shared" si="4"/>
        <v>0</v>
      </c>
      <c r="I102" s="73">
        <v>1.0</v>
      </c>
      <c r="J102" s="74"/>
      <c r="K102" s="75">
        <v>0.1</v>
      </c>
      <c r="L102" s="76">
        <v>0.0</v>
      </c>
      <c r="M102" s="79"/>
      <c r="N102" s="82"/>
      <c r="O102" s="85"/>
    </row>
    <row r="103">
      <c r="A103" s="56" t="s">
        <v>487</v>
      </c>
      <c r="B103" s="222"/>
      <c r="C103" s="64" t="s">
        <v>490</v>
      </c>
      <c r="D103" s="67"/>
      <c r="E103" s="66" t="str">
        <f t="shared" si="1"/>
        <v/>
      </c>
      <c r="F103" s="70">
        <f t="shared" si="2"/>
        <v>0</v>
      </c>
      <c r="G103" s="70">
        <f t="shared" si="3"/>
        <v>0</v>
      </c>
      <c r="H103" s="77">
        <f t="shared" si="4"/>
        <v>0</v>
      </c>
      <c r="I103" s="78">
        <v>1.0</v>
      </c>
      <c r="J103" s="80"/>
      <c r="K103" s="84">
        <v>0.1</v>
      </c>
      <c r="L103" s="163">
        <v>0.0</v>
      </c>
      <c r="M103" s="88"/>
      <c r="N103" s="90"/>
      <c r="O103" s="91"/>
    </row>
    <row r="104">
      <c r="A104" s="56" t="s">
        <v>487</v>
      </c>
      <c r="B104" s="222"/>
      <c r="C104" s="64" t="s">
        <v>69</v>
      </c>
      <c r="D104" s="67">
        <v>1.0</v>
      </c>
      <c r="E104" s="66">
        <f t="shared" si="1"/>
        <v>1</v>
      </c>
      <c r="F104" s="70">
        <f t="shared" si="2"/>
        <v>1</v>
      </c>
      <c r="G104" s="70">
        <f t="shared" si="3"/>
        <v>0</v>
      </c>
      <c r="H104" s="77">
        <f t="shared" si="4"/>
        <v>0</v>
      </c>
      <c r="I104" s="78">
        <v>1.0</v>
      </c>
      <c r="J104" s="80"/>
      <c r="K104" s="84">
        <v>0.1</v>
      </c>
      <c r="L104" s="163">
        <v>0.0</v>
      </c>
      <c r="M104" s="88"/>
      <c r="N104" s="90"/>
      <c r="O104" s="91"/>
    </row>
    <row r="105">
      <c r="A105" s="56" t="s">
        <v>487</v>
      </c>
      <c r="B105" s="222"/>
      <c r="C105" s="64" t="s">
        <v>496</v>
      </c>
      <c r="D105" s="67">
        <v>0.5</v>
      </c>
      <c r="E105" s="66">
        <f t="shared" si="1"/>
        <v>1</v>
      </c>
      <c r="F105" s="70">
        <f t="shared" si="2"/>
        <v>0.5</v>
      </c>
      <c r="G105" s="70">
        <f t="shared" si="3"/>
        <v>0</v>
      </c>
      <c r="H105" s="77">
        <f t="shared" si="4"/>
        <v>0</v>
      </c>
      <c r="I105" s="78">
        <v>1.0</v>
      </c>
      <c r="J105" s="80"/>
      <c r="K105" s="84">
        <v>0.1</v>
      </c>
      <c r="L105" s="163">
        <v>0.0</v>
      </c>
      <c r="M105" s="88"/>
      <c r="N105" s="90"/>
      <c r="O105" s="91"/>
    </row>
    <row r="106">
      <c r="A106" s="56" t="s">
        <v>487</v>
      </c>
      <c r="B106" s="222"/>
      <c r="C106" s="58" t="s">
        <v>499</v>
      </c>
      <c r="D106" s="60">
        <v>0.5</v>
      </c>
      <c r="E106" s="66">
        <f t="shared" si="1"/>
        <v>1</v>
      </c>
      <c r="F106" s="68">
        <f t="shared" si="2"/>
        <v>0.5</v>
      </c>
      <c r="G106" s="68">
        <f t="shared" si="3"/>
        <v>0</v>
      </c>
      <c r="H106" s="72">
        <f t="shared" si="4"/>
        <v>0</v>
      </c>
      <c r="I106" s="73">
        <v>1.0</v>
      </c>
      <c r="J106" s="74"/>
      <c r="K106" s="75">
        <v>0.1</v>
      </c>
      <c r="L106" s="76">
        <v>0.0</v>
      </c>
      <c r="M106" s="79"/>
      <c r="N106" s="82"/>
      <c r="O106" s="85"/>
    </row>
    <row r="107">
      <c r="A107" s="56" t="s">
        <v>487</v>
      </c>
      <c r="B107" s="222"/>
      <c r="C107" s="58" t="s">
        <v>259</v>
      </c>
      <c r="D107" s="60">
        <v>0.5</v>
      </c>
      <c r="E107" s="66">
        <f t="shared" si="1"/>
        <v>1</v>
      </c>
      <c r="F107" s="68">
        <f t="shared" si="2"/>
        <v>0.5</v>
      </c>
      <c r="G107" s="68">
        <f t="shared" si="3"/>
        <v>0</v>
      </c>
      <c r="H107" s="72">
        <f t="shared" si="4"/>
        <v>0</v>
      </c>
      <c r="I107" s="73">
        <v>1.0</v>
      </c>
      <c r="J107" s="74"/>
      <c r="K107" s="75">
        <v>0.1</v>
      </c>
      <c r="L107" s="76">
        <v>0.0</v>
      </c>
      <c r="M107" s="79"/>
      <c r="N107" s="82"/>
      <c r="O107" s="85"/>
    </row>
    <row r="108">
      <c r="A108" s="56" t="s">
        <v>487</v>
      </c>
      <c r="B108" s="222"/>
      <c r="C108" s="58" t="s">
        <v>505</v>
      </c>
      <c r="D108" s="60">
        <v>0.5</v>
      </c>
      <c r="E108" s="66">
        <f t="shared" si="1"/>
        <v>1</v>
      </c>
      <c r="F108" s="68">
        <f t="shared" si="2"/>
        <v>0.5</v>
      </c>
      <c r="G108" s="68">
        <f t="shared" si="3"/>
        <v>0</v>
      </c>
      <c r="H108" s="72">
        <f t="shared" si="4"/>
        <v>0</v>
      </c>
      <c r="I108" s="73">
        <v>1.0</v>
      </c>
      <c r="J108" s="74"/>
      <c r="K108" s="75">
        <v>0.1</v>
      </c>
      <c r="L108" s="76">
        <v>0.0</v>
      </c>
      <c r="M108" s="79"/>
      <c r="N108" s="82"/>
      <c r="O108" s="85"/>
    </row>
    <row r="109">
      <c r="A109" s="56" t="s">
        <v>487</v>
      </c>
      <c r="B109" s="222"/>
      <c r="C109" s="58" t="s">
        <v>433</v>
      </c>
      <c r="D109" s="60"/>
      <c r="E109" s="66" t="str">
        <f t="shared" si="1"/>
        <v/>
      </c>
      <c r="F109" s="68">
        <f t="shared" si="2"/>
        <v>0</v>
      </c>
      <c r="G109" s="68">
        <f t="shared" si="3"/>
        <v>0</v>
      </c>
      <c r="H109" s="72">
        <f t="shared" si="4"/>
        <v>0</v>
      </c>
      <c r="I109" s="73">
        <v>1.0</v>
      </c>
      <c r="J109" s="74"/>
      <c r="K109" s="75">
        <v>0.1</v>
      </c>
      <c r="L109" s="76">
        <v>0.0</v>
      </c>
      <c r="M109" s="79"/>
      <c r="N109" s="82"/>
      <c r="O109" s="85"/>
    </row>
    <row r="110">
      <c r="A110" s="56" t="s">
        <v>487</v>
      </c>
      <c r="B110" s="222"/>
      <c r="C110" s="58" t="s">
        <v>513</v>
      </c>
      <c r="D110" s="60"/>
      <c r="E110" s="66" t="str">
        <f t="shared" si="1"/>
        <v/>
      </c>
      <c r="F110" s="68">
        <f t="shared" si="2"/>
        <v>0</v>
      </c>
      <c r="G110" s="68">
        <f t="shared" si="3"/>
        <v>0</v>
      </c>
      <c r="H110" s="72">
        <f t="shared" si="4"/>
        <v>0</v>
      </c>
      <c r="I110" s="73">
        <v>1.0</v>
      </c>
      <c r="J110" s="74"/>
      <c r="K110" s="75">
        <v>0.1</v>
      </c>
      <c r="L110" s="76">
        <v>0.0</v>
      </c>
      <c r="M110" s="79"/>
      <c r="N110" s="82"/>
      <c r="O110" s="85"/>
    </row>
    <row r="111">
      <c r="A111" s="56" t="s">
        <v>487</v>
      </c>
      <c r="B111" s="222"/>
      <c r="C111" s="58" t="s">
        <v>324</v>
      </c>
      <c r="D111" s="60"/>
      <c r="E111" s="66" t="str">
        <f t="shared" si="1"/>
        <v/>
      </c>
      <c r="F111" s="68">
        <f t="shared" si="2"/>
        <v>0</v>
      </c>
      <c r="G111" s="68">
        <f t="shared" si="3"/>
        <v>0</v>
      </c>
      <c r="H111" s="72">
        <f t="shared" si="4"/>
        <v>0</v>
      </c>
      <c r="I111" s="73">
        <v>1.0</v>
      </c>
      <c r="J111" s="74"/>
      <c r="K111" s="75">
        <v>0.1</v>
      </c>
      <c r="L111" s="76">
        <v>0.0</v>
      </c>
      <c r="M111" s="79"/>
      <c r="N111" s="82"/>
      <c r="O111" s="85"/>
    </row>
    <row r="112">
      <c r="A112" s="56" t="s">
        <v>487</v>
      </c>
      <c r="B112" s="222"/>
      <c r="C112" s="58" t="s">
        <v>518</v>
      </c>
      <c r="D112" s="60">
        <v>1.0</v>
      </c>
      <c r="E112" s="66">
        <f t="shared" si="1"/>
        <v>1</v>
      </c>
      <c r="F112" s="68">
        <f t="shared" si="2"/>
        <v>1</v>
      </c>
      <c r="G112" s="68">
        <f t="shared" si="3"/>
        <v>0</v>
      </c>
      <c r="H112" s="72">
        <f t="shared" si="4"/>
        <v>0</v>
      </c>
      <c r="I112" s="73">
        <v>1.0</v>
      </c>
      <c r="J112" s="74"/>
      <c r="K112" s="75">
        <v>0.1</v>
      </c>
      <c r="L112" s="76">
        <v>0.0</v>
      </c>
      <c r="M112" s="79"/>
      <c r="N112" s="82"/>
      <c r="O112" s="85"/>
    </row>
    <row r="113">
      <c r="A113" s="56" t="s">
        <v>487</v>
      </c>
      <c r="B113" s="222"/>
      <c r="C113" s="58" t="s">
        <v>521</v>
      </c>
      <c r="D113" s="60"/>
      <c r="E113" s="66" t="str">
        <f t="shared" si="1"/>
        <v/>
      </c>
      <c r="F113" s="68">
        <f t="shared" si="2"/>
        <v>0</v>
      </c>
      <c r="G113" s="68">
        <f t="shared" si="3"/>
        <v>0</v>
      </c>
      <c r="H113" s="72">
        <f t="shared" si="4"/>
        <v>0</v>
      </c>
      <c r="I113" s="73">
        <v>1.0</v>
      </c>
      <c r="J113" s="74"/>
      <c r="K113" s="75">
        <v>0.1</v>
      </c>
      <c r="L113" s="76">
        <v>0.0</v>
      </c>
      <c r="M113" s="79"/>
      <c r="N113" s="82"/>
      <c r="O113" s="85"/>
    </row>
    <row r="114">
      <c r="A114" s="56" t="s">
        <v>487</v>
      </c>
      <c r="B114" s="222"/>
      <c r="C114" s="58" t="s">
        <v>523</v>
      </c>
      <c r="D114" s="60"/>
      <c r="E114" s="66" t="str">
        <f t="shared" si="1"/>
        <v/>
      </c>
      <c r="F114" s="68">
        <f t="shared" si="2"/>
        <v>0</v>
      </c>
      <c r="G114" s="68">
        <f t="shared" si="3"/>
        <v>0</v>
      </c>
      <c r="H114" s="72">
        <f t="shared" si="4"/>
        <v>0</v>
      </c>
      <c r="I114" s="73">
        <v>1.0</v>
      </c>
      <c r="J114" s="74"/>
      <c r="K114" s="75">
        <v>0.1</v>
      </c>
      <c r="L114" s="76">
        <v>0.0</v>
      </c>
      <c r="M114" s="79"/>
      <c r="N114" s="82"/>
      <c r="O114" s="85"/>
    </row>
    <row r="115">
      <c r="A115" s="56" t="s">
        <v>487</v>
      </c>
      <c r="B115" s="222"/>
      <c r="C115" s="58" t="s">
        <v>368</v>
      </c>
      <c r="D115" s="60">
        <v>0.1</v>
      </c>
      <c r="E115" s="66">
        <f t="shared" si="1"/>
        <v>1</v>
      </c>
      <c r="F115" s="68">
        <f t="shared" si="2"/>
        <v>0.1</v>
      </c>
      <c r="G115" s="68">
        <f t="shared" si="3"/>
        <v>0</v>
      </c>
      <c r="H115" s="72">
        <f t="shared" si="4"/>
        <v>0</v>
      </c>
      <c r="I115" s="73">
        <v>1.0</v>
      </c>
      <c r="J115" s="74"/>
      <c r="K115" s="75">
        <v>0.1</v>
      </c>
      <c r="L115" s="76">
        <v>0.0</v>
      </c>
      <c r="M115" s="79"/>
      <c r="N115" s="82"/>
      <c r="O115" s="85"/>
    </row>
    <row r="116">
      <c r="A116" s="59" t="s">
        <v>487</v>
      </c>
      <c r="B116" s="223"/>
      <c r="C116" s="114" t="s">
        <v>528</v>
      </c>
      <c r="D116" s="116">
        <v>0.5</v>
      </c>
      <c r="E116" s="69">
        <f t="shared" si="1"/>
        <v>1</v>
      </c>
      <c r="F116" s="117">
        <f t="shared" si="2"/>
        <v>0.5</v>
      </c>
      <c r="G116" s="117">
        <f t="shared" si="3"/>
        <v>0</v>
      </c>
      <c r="H116" s="118">
        <f t="shared" si="4"/>
        <v>0</v>
      </c>
      <c r="I116" s="119">
        <v>1.0</v>
      </c>
      <c r="J116" s="108"/>
      <c r="K116" s="120">
        <v>0.1</v>
      </c>
      <c r="L116" s="157">
        <v>0.0</v>
      </c>
      <c r="M116" s="122"/>
      <c r="N116" s="123"/>
      <c r="O116" s="125"/>
    </row>
    <row r="117">
      <c r="A117" s="55" t="s">
        <v>481</v>
      </c>
      <c r="B117" s="56" t="s">
        <v>532</v>
      </c>
      <c r="C117" s="64" t="s">
        <v>143</v>
      </c>
      <c r="D117" s="67">
        <v>2.5</v>
      </c>
      <c r="E117" s="66">
        <f t="shared" si="1"/>
        <v>1</v>
      </c>
      <c r="F117" s="70">
        <f t="shared" si="2"/>
        <v>2.5</v>
      </c>
      <c r="G117" s="70">
        <f t="shared" si="3"/>
        <v>0</v>
      </c>
      <c r="H117" s="77">
        <f t="shared" si="4"/>
        <v>0</v>
      </c>
      <c r="I117" s="78">
        <v>1.0</v>
      </c>
      <c r="J117" s="80"/>
      <c r="K117" s="84">
        <v>0.1</v>
      </c>
      <c r="L117" s="163">
        <v>0.0</v>
      </c>
      <c r="M117" s="88"/>
      <c r="N117" s="90"/>
      <c r="O117" s="91"/>
    </row>
    <row r="118">
      <c r="A118" s="55" t="s">
        <v>481</v>
      </c>
      <c r="B118" s="56" t="s">
        <v>532</v>
      </c>
      <c r="C118" s="58" t="s">
        <v>535</v>
      </c>
      <c r="D118" s="60">
        <v>4.0</v>
      </c>
      <c r="E118" s="66">
        <f t="shared" si="1"/>
        <v>1</v>
      </c>
      <c r="F118" s="68">
        <f t="shared" si="2"/>
        <v>4</v>
      </c>
      <c r="G118" s="68">
        <f t="shared" si="3"/>
        <v>0</v>
      </c>
      <c r="H118" s="72">
        <f t="shared" si="4"/>
        <v>0</v>
      </c>
      <c r="I118" s="73">
        <v>1.0</v>
      </c>
      <c r="J118" s="74"/>
      <c r="K118" s="75">
        <v>0.1</v>
      </c>
      <c r="L118" s="76">
        <v>0.0</v>
      </c>
      <c r="M118" s="79"/>
      <c r="N118" s="82"/>
      <c r="O118" s="85"/>
    </row>
    <row r="119">
      <c r="A119" s="55" t="s">
        <v>481</v>
      </c>
      <c r="B119" s="56" t="s">
        <v>532</v>
      </c>
      <c r="C119" s="58" t="s">
        <v>505</v>
      </c>
      <c r="D119" s="60">
        <v>2.0</v>
      </c>
      <c r="E119" s="66">
        <f t="shared" si="1"/>
        <v>1</v>
      </c>
      <c r="F119" s="68">
        <f t="shared" si="2"/>
        <v>2</v>
      </c>
      <c r="G119" s="68">
        <f t="shared" si="3"/>
        <v>0</v>
      </c>
      <c r="H119" s="72">
        <f t="shared" si="4"/>
        <v>0</v>
      </c>
      <c r="I119" s="73">
        <v>1.0</v>
      </c>
      <c r="J119" s="74"/>
      <c r="K119" s="75">
        <v>0.1</v>
      </c>
      <c r="L119" s="76">
        <v>0.0</v>
      </c>
      <c r="M119" s="79"/>
      <c r="N119" s="82"/>
      <c r="O119" s="85"/>
    </row>
    <row r="120">
      <c r="A120" s="55" t="s">
        <v>481</v>
      </c>
      <c r="B120" s="56" t="s">
        <v>532</v>
      </c>
      <c r="C120" s="58" t="s">
        <v>324</v>
      </c>
      <c r="D120" s="60">
        <v>1.2</v>
      </c>
      <c r="E120" s="66">
        <f t="shared" si="1"/>
        <v>1</v>
      </c>
      <c r="F120" s="68">
        <f t="shared" si="2"/>
        <v>1.2</v>
      </c>
      <c r="G120" s="68">
        <f t="shared" si="3"/>
        <v>0</v>
      </c>
      <c r="H120" s="72">
        <f t="shared" si="4"/>
        <v>0</v>
      </c>
      <c r="I120" s="73">
        <v>1.0</v>
      </c>
      <c r="J120" s="74"/>
      <c r="K120" s="75">
        <v>0.1</v>
      </c>
      <c r="L120" s="76">
        <v>0.0</v>
      </c>
      <c r="M120" s="79"/>
      <c r="N120" s="82"/>
      <c r="O120" s="85"/>
    </row>
    <row r="121">
      <c r="A121" s="55" t="s">
        <v>481</v>
      </c>
      <c r="B121" s="56" t="s">
        <v>532</v>
      </c>
      <c r="C121" s="58" t="s">
        <v>540</v>
      </c>
      <c r="D121" s="60">
        <v>1.3</v>
      </c>
      <c r="E121" s="66">
        <f t="shared" si="1"/>
        <v>1</v>
      </c>
      <c r="F121" s="68">
        <f t="shared" si="2"/>
        <v>1.3</v>
      </c>
      <c r="G121" s="68">
        <f t="shared" si="3"/>
        <v>0</v>
      </c>
      <c r="H121" s="72">
        <f t="shared" si="4"/>
        <v>0</v>
      </c>
      <c r="I121" s="73">
        <v>1.0</v>
      </c>
      <c r="J121" s="74"/>
      <c r="K121" s="75">
        <v>0.1</v>
      </c>
      <c r="L121" s="76">
        <v>0.0</v>
      </c>
      <c r="M121" s="79"/>
      <c r="N121" s="82"/>
      <c r="O121" s="85"/>
    </row>
    <row r="122">
      <c r="A122" s="55" t="s">
        <v>481</v>
      </c>
      <c r="B122" s="56" t="s">
        <v>532</v>
      </c>
      <c r="C122" s="58" t="s">
        <v>334</v>
      </c>
      <c r="D122" s="60">
        <v>0.8</v>
      </c>
      <c r="E122" s="66">
        <f t="shared" si="1"/>
        <v>1</v>
      </c>
      <c r="F122" s="68">
        <f t="shared" si="2"/>
        <v>0.8</v>
      </c>
      <c r="G122" s="68">
        <f t="shared" si="3"/>
        <v>0</v>
      </c>
      <c r="H122" s="72">
        <f t="shared" si="4"/>
        <v>0</v>
      </c>
      <c r="I122" s="73">
        <v>1.0</v>
      </c>
      <c r="J122" s="74"/>
      <c r="K122" s="75">
        <v>0.1</v>
      </c>
      <c r="L122" s="76">
        <v>0.0</v>
      </c>
      <c r="M122" s="79"/>
      <c r="N122" s="82"/>
      <c r="O122" s="85"/>
    </row>
    <row r="123">
      <c r="A123" s="55" t="s">
        <v>481</v>
      </c>
      <c r="B123" s="56" t="s">
        <v>532</v>
      </c>
      <c r="C123" s="58" t="s">
        <v>545</v>
      </c>
      <c r="D123" s="60">
        <v>4.0</v>
      </c>
      <c r="E123" s="66">
        <f t="shared" si="1"/>
        <v>1</v>
      </c>
      <c r="F123" s="68">
        <f t="shared" si="2"/>
        <v>4</v>
      </c>
      <c r="G123" s="68">
        <f t="shared" si="3"/>
        <v>0</v>
      </c>
      <c r="H123" s="72">
        <f t="shared" si="4"/>
        <v>0</v>
      </c>
      <c r="I123" s="73">
        <v>1.0</v>
      </c>
      <c r="J123" s="74"/>
      <c r="K123" s="75">
        <v>0.1</v>
      </c>
      <c r="L123" s="76">
        <v>0.0</v>
      </c>
      <c r="M123" s="79"/>
      <c r="N123" s="82"/>
      <c r="O123" s="85"/>
    </row>
    <row r="124">
      <c r="A124" s="57" t="s">
        <v>481</v>
      </c>
      <c r="B124" s="59" t="s">
        <v>532</v>
      </c>
      <c r="C124" s="114" t="s">
        <v>368</v>
      </c>
      <c r="D124" s="116">
        <v>1.1</v>
      </c>
      <c r="E124" s="69">
        <f t="shared" si="1"/>
        <v>1</v>
      </c>
      <c r="F124" s="117">
        <f t="shared" si="2"/>
        <v>1.1</v>
      </c>
      <c r="G124" s="117">
        <f t="shared" si="3"/>
        <v>0</v>
      </c>
      <c r="H124" s="118">
        <f t="shared" si="4"/>
        <v>0</v>
      </c>
      <c r="I124" s="119">
        <v>1.0</v>
      </c>
      <c r="J124" s="108"/>
      <c r="K124" s="120">
        <v>0.1</v>
      </c>
      <c r="L124" s="157">
        <v>0.0</v>
      </c>
      <c r="M124" s="122"/>
      <c r="N124" s="123"/>
      <c r="O124" s="125"/>
    </row>
    <row r="125">
      <c r="A125" s="55" t="s">
        <v>501</v>
      </c>
      <c r="B125" s="56" t="s">
        <v>549</v>
      </c>
      <c r="C125" s="58" t="s">
        <v>550</v>
      </c>
      <c r="D125" s="60">
        <v>0.5</v>
      </c>
      <c r="E125" s="98">
        <f t="shared" si="1"/>
        <v>1</v>
      </c>
      <c r="F125" s="68">
        <f t="shared" si="2"/>
        <v>0.5</v>
      </c>
      <c r="G125" s="68">
        <f t="shared" si="3"/>
        <v>0</v>
      </c>
      <c r="H125" s="72">
        <f t="shared" si="4"/>
        <v>0</v>
      </c>
      <c r="I125" s="73">
        <v>1.0</v>
      </c>
      <c r="J125" s="74"/>
      <c r="K125" s="75">
        <v>0.1</v>
      </c>
      <c r="L125" s="76">
        <v>0.0</v>
      </c>
      <c r="M125" s="79"/>
      <c r="N125" s="82"/>
      <c r="O125" s="85"/>
    </row>
    <row r="126">
      <c r="A126" s="160" t="s">
        <v>501</v>
      </c>
      <c r="B126" s="161" t="s">
        <v>549</v>
      </c>
      <c r="C126" s="162" t="s">
        <v>553</v>
      </c>
      <c r="D126" s="164">
        <v>1.5</v>
      </c>
      <c r="E126" s="165">
        <f t="shared" si="1"/>
        <v>1</v>
      </c>
      <c r="F126" s="166">
        <f t="shared" si="2"/>
        <v>1.5</v>
      </c>
      <c r="G126" s="166">
        <f t="shared" si="3"/>
        <v>0</v>
      </c>
      <c r="H126" s="167">
        <f t="shared" si="4"/>
        <v>0</v>
      </c>
      <c r="I126" s="168">
        <v>1.0</v>
      </c>
      <c r="J126" s="169"/>
      <c r="K126" s="170">
        <v>0.1</v>
      </c>
      <c r="L126" s="171">
        <v>0.0</v>
      </c>
      <c r="M126" s="79"/>
      <c r="N126" s="82"/>
      <c r="O126" s="190"/>
    </row>
    <row r="127">
      <c r="A127" s="55" t="s">
        <v>501</v>
      </c>
      <c r="B127" s="56" t="s">
        <v>549</v>
      </c>
      <c r="C127" s="58" t="s">
        <v>229</v>
      </c>
      <c r="D127" s="60">
        <v>2.0</v>
      </c>
      <c r="E127" s="98">
        <f t="shared" si="1"/>
        <v>1</v>
      </c>
      <c r="F127" s="68">
        <f t="shared" si="2"/>
        <v>2</v>
      </c>
      <c r="G127" s="68">
        <f t="shared" si="3"/>
        <v>0</v>
      </c>
      <c r="H127" s="72">
        <f t="shared" si="4"/>
        <v>0</v>
      </c>
      <c r="I127" s="73">
        <v>1.0</v>
      </c>
      <c r="J127" s="74"/>
      <c r="K127" s="75">
        <v>0.1</v>
      </c>
      <c r="L127" s="76">
        <v>0.0</v>
      </c>
      <c r="M127" s="79"/>
      <c r="N127" s="82"/>
      <c r="O127" s="85"/>
    </row>
    <row r="128">
      <c r="A128" s="160" t="s">
        <v>501</v>
      </c>
      <c r="B128" s="161" t="s">
        <v>549</v>
      </c>
      <c r="C128" s="162" t="s">
        <v>557</v>
      </c>
      <c r="D128" s="164">
        <v>1.0</v>
      </c>
      <c r="E128" s="165">
        <f t="shared" si="1"/>
        <v>1</v>
      </c>
      <c r="F128" s="166">
        <f t="shared" si="2"/>
        <v>1</v>
      </c>
      <c r="G128" s="166">
        <f t="shared" si="3"/>
        <v>0</v>
      </c>
      <c r="H128" s="167">
        <f t="shared" si="4"/>
        <v>0</v>
      </c>
      <c r="I128" s="168">
        <v>1.0</v>
      </c>
      <c r="J128" s="169"/>
      <c r="K128" s="170">
        <v>0.1</v>
      </c>
      <c r="L128" s="171">
        <v>0.0</v>
      </c>
      <c r="M128" s="88"/>
      <c r="N128" s="90"/>
      <c r="O128" s="190"/>
    </row>
    <row r="129">
      <c r="A129" s="160" t="s">
        <v>501</v>
      </c>
      <c r="B129" s="161" t="s">
        <v>549</v>
      </c>
      <c r="C129" s="162" t="s">
        <v>560</v>
      </c>
      <c r="D129" s="234">
        <v>0.3</v>
      </c>
      <c r="E129" s="165">
        <f t="shared" si="1"/>
        <v>1</v>
      </c>
      <c r="F129" s="166">
        <f t="shared" si="2"/>
        <v>0.3</v>
      </c>
      <c r="G129" s="166">
        <f t="shared" si="3"/>
        <v>0</v>
      </c>
      <c r="H129" s="167">
        <f t="shared" si="4"/>
        <v>0</v>
      </c>
      <c r="I129" s="168">
        <v>1.0</v>
      </c>
      <c r="J129" s="169"/>
      <c r="K129" s="170">
        <v>0.1</v>
      </c>
      <c r="L129" s="171">
        <v>0.0</v>
      </c>
      <c r="M129" s="88"/>
      <c r="N129" s="90"/>
      <c r="O129" s="190"/>
    </row>
    <row r="130">
      <c r="A130" s="160" t="s">
        <v>501</v>
      </c>
      <c r="B130" s="161" t="s">
        <v>549</v>
      </c>
      <c r="C130" s="162" t="s">
        <v>561</v>
      </c>
      <c r="D130" s="164"/>
      <c r="E130" s="165" t="str">
        <f t="shared" si="1"/>
        <v/>
      </c>
      <c r="F130" s="166">
        <f t="shared" si="2"/>
        <v>0</v>
      </c>
      <c r="G130" s="166">
        <f t="shared" si="3"/>
        <v>0</v>
      </c>
      <c r="H130" s="167">
        <f t="shared" si="4"/>
        <v>0</v>
      </c>
      <c r="I130" s="168">
        <v>1.0</v>
      </c>
      <c r="J130" s="169"/>
      <c r="K130" s="170">
        <v>0.1</v>
      </c>
      <c r="L130" s="171">
        <v>0.0</v>
      </c>
      <c r="M130" s="88"/>
      <c r="N130" s="90"/>
      <c r="O130" s="190"/>
    </row>
    <row r="131">
      <c r="A131" s="55" t="s">
        <v>501</v>
      </c>
      <c r="B131" s="56" t="s">
        <v>549</v>
      </c>
      <c r="C131" s="64" t="s">
        <v>563</v>
      </c>
      <c r="D131" s="67">
        <v>3.0</v>
      </c>
      <c r="E131" s="66">
        <f t="shared" si="1"/>
        <v>1</v>
      </c>
      <c r="F131" s="70">
        <f t="shared" si="2"/>
        <v>3</v>
      </c>
      <c r="G131" s="70">
        <f t="shared" si="3"/>
        <v>0</v>
      </c>
      <c r="H131" s="77">
        <f t="shared" si="4"/>
        <v>0</v>
      </c>
      <c r="I131" s="78">
        <v>1.0</v>
      </c>
      <c r="J131" s="80"/>
      <c r="K131" s="84">
        <v>0.1</v>
      </c>
      <c r="L131" s="163">
        <v>0.0</v>
      </c>
      <c r="M131" s="88"/>
      <c r="N131" s="90"/>
      <c r="O131" s="91"/>
    </row>
    <row r="132">
      <c r="A132" s="55" t="s">
        <v>501</v>
      </c>
      <c r="B132" s="56" t="s">
        <v>549</v>
      </c>
      <c r="C132" s="64" t="s">
        <v>568</v>
      </c>
      <c r="D132" s="67">
        <v>7.0</v>
      </c>
      <c r="E132" s="66">
        <f t="shared" si="1"/>
        <v>1</v>
      </c>
      <c r="F132" s="70">
        <f t="shared" si="2"/>
        <v>7</v>
      </c>
      <c r="G132" s="70">
        <f t="shared" si="3"/>
        <v>0</v>
      </c>
      <c r="H132" s="77">
        <f t="shared" si="4"/>
        <v>0</v>
      </c>
      <c r="I132" s="78">
        <v>1.0</v>
      </c>
      <c r="J132" s="80"/>
      <c r="K132" s="84">
        <v>0.1</v>
      </c>
      <c r="L132" s="163">
        <v>0.0</v>
      </c>
      <c r="M132" s="88"/>
      <c r="N132" s="90"/>
      <c r="O132" s="91"/>
    </row>
    <row r="133">
      <c r="A133" s="55" t="s">
        <v>501</v>
      </c>
      <c r="B133" s="56" t="s">
        <v>549</v>
      </c>
      <c r="C133" s="64" t="s">
        <v>132</v>
      </c>
      <c r="D133" s="67">
        <v>3.0</v>
      </c>
      <c r="E133" s="66">
        <f t="shared" si="1"/>
        <v>1</v>
      </c>
      <c r="F133" s="70">
        <f t="shared" si="2"/>
        <v>3</v>
      </c>
      <c r="G133" s="70">
        <f t="shared" si="3"/>
        <v>0</v>
      </c>
      <c r="H133" s="77">
        <f t="shared" si="4"/>
        <v>0</v>
      </c>
      <c r="I133" s="78">
        <v>1.0</v>
      </c>
      <c r="J133" s="80"/>
      <c r="K133" s="84">
        <v>0.1</v>
      </c>
      <c r="L133" s="163">
        <v>0.0</v>
      </c>
      <c r="M133" s="88"/>
      <c r="N133" s="90"/>
      <c r="O133" s="91"/>
    </row>
    <row r="134">
      <c r="A134" s="55" t="s">
        <v>501</v>
      </c>
      <c r="B134" s="56" t="s">
        <v>549</v>
      </c>
      <c r="C134" s="64" t="s">
        <v>573</v>
      </c>
      <c r="D134" s="67">
        <v>1.5</v>
      </c>
      <c r="E134" s="66">
        <f t="shared" si="1"/>
        <v>1</v>
      </c>
      <c r="F134" s="70">
        <f t="shared" si="2"/>
        <v>1.5</v>
      </c>
      <c r="G134" s="70">
        <f t="shared" si="3"/>
        <v>0</v>
      </c>
      <c r="H134" s="77">
        <f t="shared" si="4"/>
        <v>0</v>
      </c>
      <c r="I134" s="78">
        <v>1.0</v>
      </c>
      <c r="J134" s="80"/>
      <c r="K134" s="84">
        <v>0.1</v>
      </c>
      <c r="L134" s="163">
        <v>0.0</v>
      </c>
      <c r="M134" s="88"/>
      <c r="N134" s="90"/>
      <c r="O134" s="91"/>
    </row>
    <row r="135">
      <c r="A135" s="55" t="s">
        <v>501</v>
      </c>
      <c r="B135" s="56" t="s">
        <v>549</v>
      </c>
      <c r="C135" s="64" t="s">
        <v>160</v>
      </c>
      <c r="D135" s="67">
        <v>2.5</v>
      </c>
      <c r="E135" s="66">
        <f t="shared" si="1"/>
        <v>1</v>
      </c>
      <c r="F135" s="70">
        <f t="shared" si="2"/>
        <v>2.5</v>
      </c>
      <c r="G135" s="70">
        <f t="shared" si="3"/>
        <v>0</v>
      </c>
      <c r="H135" s="77">
        <f t="shared" si="4"/>
        <v>0</v>
      </c>
      <c r="I135" s="78">
        <v>1.0</v>
      </c>
      <c r="J135" s="80"/>
      <c r="K135" s="84">
        <v>0.1</v>
      </c>
      <c r="L135" s="163">
        <v>0.0</v>
      </c>
      <c r="M135" s="88"/>
      <c r="N135" s="90"/>
      <c r="O135" s="91"/>
    </row>
    <row r="136">
      <c r="A136" s="55" t="s">
        <v>501</v>
      </c>
      <c r="B136" s="56" t="s">
        <v>549</v>
      </c>
      <c r="C136" s="64" t="s">
        <v>265</v>
      </c>
      <c r="D136" s="67">
        <v>4.0</v>
      </c>
      <c r="E136" s="66">
        <f t="shared" si="1"/>
        <v>1</v>
      </c>
      <c r="F136" s="70">
        <f t="shared" si="2"/>
        <v>4</v>
      </c>
      <c r="G136" s="70">
        <f t="shared" si="3"/>
        <v>0</v>
      </c>
      <c r="H136" s="77">
        <f t="shared" si="4"/>
        <v>0</v>
      </c>
      <c r="I136" s="78">
        <v>1.0</v>
      </c>
      <c r="J136" s="80"/>
      <c r="K136" s="84">
        <v>0.1</v>
      </c>
      <c r="L136" s="163">
        <v>0.0</v>
      </c>
      <c r="M136" s="88"/>
      <c r="N136" s="90"/>
      <c r="O136" s="91"/>
    </row>
    <row r="137">
      <c r="A137" s="55" t="s">
        <v>501</v>
      </c>
      <c r="B137" s="56" t="s">
        <v>549</v>
      </c>
      <c r="C137" s="64" t="s">
        <v>269</v>
      </c>
      <c r="D137" s="67">
        <v>1.8</v>
      </c>
      <c r="E137" s="66">
        <f t="shared" si="1"/>
        <v>1</v>
      </c>
      <c r="F137" s="70">
        <f t="shared" si="2"/>
        <v>1.8</v>
      </c>
      <c r="G137" s="70">
        <f t="shared" si="3"/>
        <v>0</v>
      </c>
      <c r="H137" s="77">
        <f t="shared" si="4"/>
        <v>0</v>
      </c>
      <c r="I137" s="78">
        <v>1.0</v>
      </c>
      <c r="J137" s="80"/>
      <c r="K137" s="84">
        <v>0.1</v>
      </c>
      <c r="L137" s="163">
        <v>0.0</v>
      </c>
      <c r="M137" s="88"/>
      <c r="N137" s="90"/>
      <c r="O137" s="91"/>
    </row>
    <row r="138">
      <c r="A138" s="55" t="s">
        <v>501</v>
      </c>
      <c r="B138" s="56" t="s">
        <v>549</v>
      </c>
      <c r="C138" s="58" t="s">
        <v>578</v>
      </c>
      <c r="D138" s="60">
        <v>0.5</v>
      </c>
      <c r="E138" s="98">
        <f t="shared" si="1"/>
        <v>1</v>
      </c>
      <c r="F138" s="68">
        <f t="shared" si="2"/>
        <v>0.5</v>
      </c>
      <c r="G138" s="68">
        <f t="shared" si="3"/>
        <v>0</v>
      </c>
      <c r="H138" s="72">
        <f t="shared" si="4"/>
        <v>0</v>
      </c>
      <c r="I138" s="73">
        <v>1.0</v>
      </c>
      <c r="J138" s="74"/>
      <c r="K138" s="75">
        <v>0.1</v>
      </c>
      <c r="L138" s="76">
        <v>0.0</v>
      </c>
      <c r="M138" s="79"/>
      <c r="N138" s="82"/>
      <c r="O138" s="85"/>
    </row>
    <row r="139">
      <c r="A139" s="55" t="s">
        <v>501</v>
      </c>
      <c r="B139" s="56" t="s">
        <v>549</v>
      </c>
      <c r="C139" s="58" t="s">
        <v>581</v>
      </c>
      <c r="D139" s="60">
        <v>1.0</v>
      </c>
      <c r="E139" s="98">
        <f t="shared" si="1"/>
        <v>1</v>
      </c>
      <c r="F139" s="68">
        <f t="shared" si="2"/>
        <v>1</v>
      </c>
      <c r="G139" s="68">
        <f t="shared" si="3"/>
        <v>0</v>
      </c>
      <c r="H139" s="72">
        <f t="shared" si="4"/>
        <v>0</v>
      </c>
      <c r="I139" s="73">
        <v>1.0</v>
      </c>
      <c r="J139" s="74"/>
      <c r="K139" s="75">
        <v>0.1</v>
      </c>
      <c r="L139" s="76">
        <v>0.0</v>
      </c>
      <c r="M139" s="79"/>
      <c r="N139" s="82"/>
      <c r="O139" s="85"/>
    </row>
    <row r="140">
      <c r="A140" s="55" t="s">
        <v>501</v>
      </c>
      <c r="B140" s="56" t="s">
        <v>549</v>
      </c>
      <c r="C140" s="64" t="s">
        <v>272</v>
      </c>
      <c r="D140" s="67">
        <v>0.5</v>
      </c>
      <c r="E140" s="66">
        <f t="shared" si="1"/>
        <v>1</v>
      </c>
      <c r="F140" s="70">
        <f t="shared" si="2"/>
        <v>0.5</v>
      </c>
      <c r="G140" s="70">
        <f t="shared" si="3"/>
        <v>0</v>
      </c>
      <c r="H140" s="77">
        <f t="shared" si="4"/>
        <v>0</v>
      </c>
      <c r="I140" s="78">
        <v>1.0</v>
      </c>
      <c r="J140" s="80"/>
      <c r="K140" s="84">
        <v>0.1</v>
      </c>
      <c r="L140" s="163">
        <v>0.0</v>
      </c>
      <c r="M140" s="88"/>
      <c r="N140" s="90"/>
      <c r="O140" s="91"/>
    </row>
    <row r="141">
      <c r="A141" s="55" t="s">
        <v>501</v>
      </c>
      <c r="B141" s="56" t="s">
        <v>549</v>
      </c>
      <c r="C141" s="64" t="s">
        <v>81</v>
      </c>
      <c r="D141" s="67">
        <v>2.5</v>
      </c>
      <c r="E141" s="66">
        <f t="shared" si="1"/>
        <v>1</v>
      </c>
      <c r="F141" s="70">
        <f t="shared" si="2"/>
        <v>2.5</v>
      </c>
      <c r="G141" s="70">
        <f t="shared" si="3"/>
        <v>0</v>
      </c>
      <c r="H141" s="77">
        <f t="shared" si="4"/>
        <v>0</v>
      </c>
      <c r="I141" s="78">
        <v>1.0</v>
      </c>
      <c r="J141" s="80"/>
      <c r="K141" s="84">
        <v>0.1</v>
      </c>
      <c r="L141" s="163">
        <v>0.0</v>
      </c>
      <c r="M141" s="88"/>
      <c r="N141" s="90"/>
      <c r="O141" s="91"/>
    </row>
    <row r="142">
      <c r="A142" s="55" t="s">
        <v>501</v>
      </c>
      <c r="B142" s="56" t="s">
        <v>549</v>
      </c>
      <c r="C142" s="64" t="s">
        <v>587</v>
      </c>
      <c r="D142" s="67">
        <v>1.5</v>
      </c>
      <c r="E142" s="66">
        <f t="shared" si="1"/>
        <v>1</v>
      </c>
      <c r="F142" s="70">
        <f t="shared" si="2"/>
        <v>1.5</v>
      </c>
      <c r="G142" s="70">
        <f t="shared" si="3"/>
        <v>0</v>
      </c>
      <c r="H142" s="77">
        <f t="shared" si="4"/>
        <v>0</v>
      </c>
      <c r="I142" s="78">
        <v>1.0</v>
      </c>
      <c r="J142" s="80"/>
      <c r="K142" s="84">
        <v>0.1</v>
      </c>
      <c r="L142" s="163">
        <v>0.0</v>
      </c>
      <c r="M142" s="88"/>
      <c r="N142" s="90"/>
      <c r="O142" s="91"/>
    </row>
    <row r="143">
      <c r="A143" s="55" t="s">
        <v>501</v>
      </c>
      <c r="B143" s="56" t="s">
        <v>549</v>
      </c>
      <c r="C143" s="64" t="s">
        <v>589</v>
      </c>
      <c r="D143" s="67">
        <v>2.5</v>
      </c>
      <c r="E143" s="66">
        <f t="shared" si="1"/>
        <v>1</v>
      </c>
      <c r="F143" s="70">
        <f t="shared" si="2"/>
        <v>2.5</v>
      </c>
      <c r="G143" s="70">
        <f t="shared" si="3"/>
        <v>0</v>
      </c>
      <c r="H143" s="77">
        <f t="shared" si="4"/>
        <v>0</v>
      </c>
      <c r="I143" s="78">
        <v>1.0</v>
      </c>
      <c r="J143" s="80"/>
      <c r="K143" s="84">
        <v>0.1</v>
      </c>
      <c r="L143" s="163">
        <v>0.0</v>
      </c>
      <c r="M143" s="88"/>
      <c r="N143" s="90"/>
      <c r="O143" s="91"/>
    </row>
    <row r="144">
      <c r="A144" s="55" t="s">
        <v>501</v>
      </c>
      <c r="B144" s="56" t="s">
        <v>549</v>
      </c>
      <c r="C144" s="64" t="s">
        <v>280</v>
      </c>
      <c r="D144" s="67">
        <v>2.5</v>
      </c>
      <c r="E144" s="66">
        <f t="shared" si="1"/>
        <v>1</v>
      </c>
      <c r="F144" s="70">
        <f t="shared" si="2"/>
        <v>2.5</v>
      </c>
      <c r="G144" s="70">
        <f t="shared" si="3"/>
        <v>0</v>
      </c>
      <c r="H144" s="77">
        <f t="shared" si="4"/>
        <v>0</v>
      </c>
      <c r="I144" s="78">
        <v>1.0</v>
      </c>
      <c r="J144" s="80"/>
      <c r="K144" s="84">
        <v>0.1</v>
      </c>
      <c r="L144" s="163">
        <v>0.0</v>
      </c>
      <c r="M144" s="88"/>
      <c r="N144" s="90"/>
      <c r="O144" s="91"/>
    </row>
    <row r="145">
      <c r="A145" s="55" t="s">
        <v>501</v>
      </c>
      <c r="B145" s="56" t="s">
        <v>549</v>
      </c>
      <c r="C145" s="58" t="s">
        <v>595</v>
      </c>
      <c r="D145" s="60">
        <v>2.0</v>
      </c>
      <c r="E145" s="66">
        <f t="shared" si="1"/>
        <v>1</v>
      </c>
      <c r="F145" s="68">
        <f t="shared" si="2"/>
        <v>2</v>
      </c>
      <c r="G145" s="68">
        <f t="shared" si="3"/>
        <v>0</v>
      </c>
      <c r="H145" s="72">
        <f t="shared" si="4"/>
        <v>0</v>
      </c>
      <c r="I145" s="73">
        <v>1.0</v>
      </c>
      <c r="J145" s="74"/>
      <c r="K145" s="75">
        <v>0.1</v>
      </c>
      <c r="L145" s="76">
        <v>0.0</v>
      </c>
      <c r="M145" s="79"/>
      <c r="N145" s="82"/>
      <c r="O145" s="85"/>
    </row>
    <row r="146">
      <c r="A146" s="55" t="s">
        <v>501</v>
      </c>
      <c r="B146" s="56" t="s">
        <v>549</v>
      </c>
      <c r="C146" s="58" t="s">
        <v>405</v>
      </c>
      <c r="D146" s="60">
        <v>1.3</v>
      </c>
      <c r="E146" s="66">
        <f t="shared" si="1"/>
        <v>1</v>
      </c>
      <c r="F146" s="68">
        <f t="shared" si="2"/>
        <v>1.3</v>
      </c>
      <c r="G146" s="68">
        <f t="shared" si="3"/>
        <v>0</v>
      </c>
      <c r="H146" s="72">
        <f t="shared" si="4"/>
        <v>0</v>
      </c>
      <c r="I146" s="73">
        <v>1.0</v>
      </c>
      <c r="J146" s="74"/>
      <c r="K146" s="75">
        <v>0.1</v>
      </c>
      <c r="L146" s="76">
        <v>0.0</v>
      </c>
      <c r="M146" s="79"/>
      <c r="N146" s="82"/>
      <c r="O146" s="85"/>
    </row>
    <row r="147">
      <c r="A147" s="55" t="s">
        <v>501</v>
      </c>
      <c r="B147" s="56" t="s">
        <v>549</v>
      </c>
      <c r="C147" s="58" t="s">
        <v>407</v>
      </c>
      <c r="D147" s="60">
        <v>1.3</v>
      </c>
      <c r="E147" s="66">
        <f t="shared" si="1"/>
        <v>1</v>
      </c>
      <c r="F147" s="68">
        <f t="shared" si="2"/>
        <v>1.3</v>
      </c>
      <c r="G147" s="68">
        <f t="shared" si="3"/>
        <v>0</v>
      </c>
      <c r="H147" s="72">
        <f t="shared" si="4"/>
        <v>0</v>
      </c>
      <c r="I147" s="73">
        <v>1.0</v>
      </c>
      <c r="J147" s="74"/>
      <c r="K147" s="75">
        <v>0.1</v>
      </c>
      <c r="L147" s="76">
        <v>0.0</v>
      </c>
      <c r="M147" s="79"/>
      <c r="N147" s="82"/>
      <c r="O147" s="85"/>
    </row>
    <row r="148">
      <c r="A148" s="55" t="s">
        <v>501</v>
      </c>
      <c r="B148" s="56" t="s">
        <v>549</v>
      </c>
      <c r="C148" s="58" t="s">
        <v>403</v>
      </c>
      <c r="D148" s="60">
        <v>1.3</v>
      </c>
      <c r="E148" s="66">
        <f t="shared" si="1"/>
        <v>1</v>
      </c>
      <c r="F148" s="68">
        <f t="shared" si="2"/>
        <v>1.3</v>
      </c>
      <c r="G148" s="68">
        <f t="shared" si="3"/>
        <v>0</v>
      </c>
      <c r="H148" s="72">
        <f t="shared" si="4"/>
        <v>0</v>
      </c>
      <c r="I148" s="73">
        <v>1.0</v>
      </c>
      <c r="J148" s="74"/>
      <c r="K148" s="75">
        <v>0.1</v>
      </c>
      <c r="L148" s="76">
        <v>0.0</v>
      </c>
      <c r="M148" s="79"/>
      <c r="N148" s="82"/>
      <c r="O148" s="85"/>
    </row>
    <row r="149">
      <c r="A149" s="55" t="s">
        <v>501</v>
      </c>
      <c r="B149" s="56" t="s">
        <v>549</v>
      </c>
      <c r="C149" s="58" t="s">
        <v>605</v>
      </c>
      <c r="D149" s="60">
        <v>1.5</v>
      </c>
      <c r="E149" s="66">
        <f t="shared" si="1"/>
        <v>1</v>
      </c>
      <c r="F149" s="68">
        <f t="shared" si="2"/>
        <v>1.5</v>
      </c>
      <c r="G149" s="68">
        <f t="shared" si="3"/>
        <v>0</v>
      </c>
      <c r="H149" s="72">
        <f t="shared" si="4"/>
        <v>0</v>
      </c>
      <c r="I149" s="73">
        <v>1.0</v>
      </c>
      <c r="J149" s="74"/>
      <c r="K149" s="75">
        <v>0.1</v>
      </c>
      <c r="L149" s="76">
        <v>0.0</v>
      </c>
      <c r="M149" s="79"/>
      <c r="N149" s="82"/>
      <c r="O149" s="85"/>
    </row>
    <row r="150">
      <c r="A150" s="55" t="s">
        <v>501</v>
      </c>
      <c r="B150" s="56" t="s">
        <v>549</v>
      </c>
      <c r="C150" s="58" t="s">
        <v>607</v>
      </c>
      <c r="D150" s="60">
        <v>2.5</v>
      </c>
      <c r="E150" s="66">
        <f t="shared" si="1"/>
        <v>1</v>
      </c>
      <c r="F150" s="68">
        <f t="shared" si="2"/>
        <v>2.5</v>
      </c>
      <c r="G150" s="68">
        <f t="shared" si="3"/>
        <v>0</v>
      </c>
      <c r="H150" s="72">
        <f t="shared" si="4"/>
        <v>0</v>
      </c>
      <c r="I150" s="73">
        <v>1.0</v>
      </c>
      <c r="J150" s="74"/>
      <c r="K150" s="75">
        <v>0.1</v>
      </c>
      <c r="L150" s="76">
        <v>0.0</v>
      </c>
      <c r="M150" s="79"/>
      <c r="N150" s="82"/>
      <c r="O150" s="85"/>
    </row>
    <row r="151">
      <c r="A151" s="55" t="s">
        <v>501</v>
      </c>
      <c r="B151" s="56" t="s">
        <v>549</v>
      </c>
      <c r="C151" s="58" t="s">
        <v>54</v>
      </c>
      <c r="D151" s="60">
        <v>1.0</v>
      </c>
      <c r="E151" s="66">
        <f t="shared" si="1"/>
        <v>1</v>
      </c>
      <c r="F151" s="68">
        <f t="shared" si="2"/>
        <v>1</v>
      </c>
      <c r="G151" s="68">
        <f t="shared" si="3"/>
        <v>0</v>
      </c>
      <c r="H151" s="72">
        <f t="shared" si="4"/>
        <v>0</v>
      </c>
      <c r="I151" s="73">
        <v>1.0</v>
      </c>
      <c r="J151" s="74"/>
      <c r="K151" s="75">
        <v>0.1</v>
      </c>
      <c r="L151" s="76">
        <v>0.0</v>
      </c>
      <c r="M151" s="79"/>
      <c r="N151" s="82"/>
      <c r="O151" s="85"/>
    </row>
    <row r="152">
      <c r="A152" s="55" t="s">
        <v>501</v>
      </c>
      <c r="B152" s="56" t="s">
        <v>549</v>
      </c>
      <c r="C152" s="58" t="s">
        <v>610</v>
      </c>
      <c r="D152" s="60">
        <v>2.0</v>
      </c>
      <c r="E152" s="66">
        <f t="shared" si="1"/>
        <v>1</v>
      </c>
      <c r="F152" s="68">
        <f t="shared" si="2"/>
        <v>2</v>
      </c>
      <c r="G152" s="68">
        <f t="shared" si="3"/>
        <v>0</v>
      </c>
      <c r="H152" s="72">
        <f t="shared" si="4"/>
        <v>0</v>
      </c>
      <c r="I152" s="73">
        <v>1.0</v>
      </c>
      <c r="J152" s="74"/>
      <c r="K152" s="75">
        <v>0.1</v>
      </c>
      <c r="L152" s="76">
        <v>0.0</v>
      </c>
      <c r="M152" s="79"/>
      <c r="N152" s="82"/>
      <c r="O152" s="85"/>
    </row>
    <row r="153">
      <c r="A153" s="55" t="s">
        <v>501</v>
      </c>
      <c r="B153" s="56" t="s">
        <v>549</v>
      </c>
      <c r="C153" s="58" t="s">
        <v>611</v>
      </c>
      <c r="D153" s="60">
        <v>3.0</v>
      </c>
      <c r="E153" s="66">
        <f t="shared" si="1"/>
        <v>1</v>
      </c>
      <c r="F153" s="68">
        <f t="shared" si="2"/>
        <v>3</v>
      </c>
      <c r="G153" s="68">
        <f t="shared" si="3"/>
        <v>0</v>
      </c>
      <c r="H153" s="72">
        <f t="shared" si="4"/>
        <v>0</v>
      </c>
      <c r="I153" s="73">
        <v>1.0</v>
      </c>
      <c r="J153" s="74"/>
      <c r="K153" s="75">
        <v>0.1</v>
      </c>
      <c r="L153" s="76">
        <v>0.0</v>
      </c>
      <c r="M153" s="79"/>
      <c r="N153" s="82"/>
      <c r="O153" s="85"/>
    </row>
    <row r="154" hidden="1" outlineLevel="1">
      <c r="A154" s="55" t="s">
        <v>501</v>
      </c>
      <c r="B154" s="56" t="s">
        <v>549</v>
      </c>
      <c r="C154" s="58" t="s">
        <v>556</v>
      </c>
      <c r="D154" s="60">
        <v>3.0</v>
      </c>
      <c r="E154" s="66">
        <f t="shared" si="1"/>
        <v>1</v>
      </c>
      <c r="F154" s="68">
        <f t="shared" si="2"/>
        <v>3</v>
      </c>
      <c r="G154" s="68">
        <f t="shared" si="3"/>
        <v>0</v>
      </c>
      <c r="H154" s="72">
        <f t="shared" si="4"/>
        <v>0</v>
      </c>
      <c r="I154" s="73">
        <v>1.0</v>
      </c>
      <c r="J154" s="74"/>
      <c r="K154" s="75">
        <v>0.1</v>
      </c>
      <c r="L154" s="76">
        <v>0.0</v>
      </c>
      <c r="M154" s="79"/>
      <c r="N154" s="82"/>
      <c r="O154" s="85" t="s">
        <v>558</v>
      </c>
    </row>
    <row r="155" hidden="1" outlineLevel="1">
      <c r="A155" s="55" t="s">
        <v>501</v>
      </c>
      <c r="B155" s="56" t="s">
        <v>549</v>
      </c>
      <c r="C155" s="58" t="s">
        <v>559</v>
      </c>
      <c r="D155" s="60">
        <v>3.0</v>
      </c>
      <c r="E155" s="66">
        <f t="shared" si="1"/>
        <v>1</v>
      </c>
      <c r="F155" s="68">
        <f t="shared" si="2"/>
        <v>3</v>
      </c>
      <c r="G155" s="68">
        <f t="shared" si="3"/>
        <v>0</v>
      </c>
      <c r="H155" s="72">
        <f t="shared" si="4"/>
        <v>0</v>
      </c>
      <c r="I155" s="73">
        <v>1.0</v>
      </c>
      <c r="J155" s="74"/>
      <c r="K155" s="75">
        <v>0.1</v>
      </c>
      <c r="L155" s="76">
        <v>0.0</v>
      </c>
      <c r="M155" s="79"/>
      <c r="N155" s="82"/>
      <c r="O155" s="85" t="s">
        <v>558</v>
      </c>
    </row>
    <row r="156" collapsed="1">
      <c r="A156" s="55" t="s">
        <v>501</v>
      </c>
      <c r="B156" s="56" t="s">
        <v>549</v>
      </c>
      <c r="C156" s="58" t="s">
        <v>617</v>
      </c>
      <c r="D156" s="60">
        <v>2.5</v>
      </c>
      <c r="E156" s="66">
        <f t="shared" si="1"/>
        <v>1</v>
      </c>
      <c r="F156" s="68">
        <f t="shared" si="2"/>
        <v>2.5</v>
      </c>
      <c r="G156" s="68">
        <f t="shared" si="3"/>
        <v>0</v>
      </c>
      <c r="H156" s="72">
        <f t="shared" si="4"/>
        <v>0</v>
      </c>
      <c r="I156" s="73">
        <v>1.0</v>
      </c>
      <c r="J156" s="74"/>
      <c r="K156" s="75">
        <v>0.1</v>
      </c>
      <c r="L156" s="76">
        <v>0.0</v>
      </c>
      <c r="M156" s="79"/>
      <c r="N156" s="82"/>
      <c r="O156" s="85"/>
    </row>
    <row r="157">
      <c r="A157" s="55" t="s">
        <v>501</v>
      </c>
      <c r="B157" s="56" t="s">
        <v>549</v>
      </c>
      <c r="C157" s="58" t="s">
        <v>620</v>
      </c>
      <c r="D157" s="60">
        <v>6.0</v>
      </c>
      <c r="E157" s="66">
        <f t="shared" si="1"/>
        <v>1</v>
      </c>
      <c r="F157" s="68">
        <f t="shared" si="2"/>
        <v>6</v>
      </c>
      <c r="G157" s="68">
        <f t="shared" si="3"/>
        <v>0</v>
      </c>
      <c r="H157" s="72">
        <f t="shared" si="4"/>
        <v>0</v>
      </c>
      <c r="I157" s="73">
        <v>1.0</v>
      </c>
      <c r="J157" s="74"/>
      <c r="K157" s="75">
        <v>0.1</v>
      </c>
      <c r="L157" s="76">
        <v>0.0</v>
      </c>
      <c r="M157" s="79"/>
      <c r="N157" s="82"/>
      <c r="O157" s="85"/>
    </row>
    <row r="158">
      <c r="A158" s="55" t="s">
        <v>501</v>
      </c>
      <c r="B158" s="56" t="s">
        <v>549</v>
      </c>
      <c r="C158" s="58" t="s">
        <v>621</v>
      </c>
      <c r="D158" s="60">
        <v>2.0</v>
      </c>
      <c r="E158" s="66">
        <f t="shared" si="1"/>
        <v>1</v>
      </c>
      <c r="F158" s="68">
        <f t="shared" si="2"/>
        <v>2</v>
      </c>
      <c r="G158" s="68">
        <f t="shared" si="3"/>
        <v>0</v>
      </c>
      <c r="H158" s="72">
        <f t="shared" si="4"/>
        <v>0</v>
      </c>
      <c r="I158" s="73">
        <v>1.0</v>
      </c>
      <c r="J158" s="74"/>
      <c r="K158" s="75">
        <v>0.1</v>
      </c>
      <c r="L158" s="76">
        <v>0.0</v>
      </c>
      <c r="M158" s="79"/>
      <c r="N158" s="82"/>
      <c r="O158" s="85"/>
    </row>
    <row r="159">
      <c r="A159" s="55" t="s">
        <v>501</v>
      </c>
      <c r="B159" s="56" t="s">
        <v>549</v>
      </c>
      <c r="C159" s="58" t="s">
        <v>299</v>
      </c>
      <c r="D159" s="60">
        <v>1.5</v>
      </c>
      <c r="E159" s="66">
        <f t="shared" si="1"/>
        <v>1</v>
      </c>
      <c r="F159" s="68">
        <f t="shared" si="2"/>
        <v>1.5</v>
      </c>
      <c r="G159" s="68">
        <f t="shared" si="3"/>
        <v>0</v>
      </c>
      <c r="H159" s="72">
        <f t="shared" si="4"/>
        <v>0</v>
      </c>
      <c r="I159" s="73">
        <v>1.0</v>
      </c>
      <c r="J159" s="74"/>
      <c r="K159" s="75">
        <v>0.1</v>
      </c>
      <c r="L159" s="76">
        <v>0.0</v>
      </c>
      <c r="M159" s="79"/>
      <c r="N159" s="82"/>
      <c r="O159" s="85"/>
    </row>
    <row r="160">
      <c r="A160" s="55" t="s">
        <v>501</v>
      </c>
      <c r="B160" s="56" t="s">
        <v>549</v>
      </c>
      <c r="C160" s="58" t="s">
        <v>301</v>
      </c>
      <c r="D160" s="60">
        <v>2.0</v>
      </c>
      <c r="E160" s="66">
        <f t="shared" si="1"/>
        <v>1</v>
      </c>
      <c r="F160" s="68">
        <f t="shared" si="2"/>
        <v>2</v>
      </c>
      <c r="G160" s="68">
        <f t="shared" si="3"/>
        <v>0</v>
      </c>
      <c r="H160" s="72">
        <f t="shared" si="4"/>
        <v>0</v>
      </c>
      <c r="I160" s="73">
        <v>1.0</v>
      </c>
      <c r="J160" s="74"/>
      <c r="K160" s="75">
        <v>0.1</v>
      </c>
      <c r="L160" s="76">
        <v>0.0</v>
      </c>
      <c r="M160" s="79"/>
      <c r="N160" s="82"/>
      <c r="O160" s="85"/>
    </row>
    <row r="161">
      <c r="A161" s="55" t="s">
        <v>501</v>
      </c>
      <c r="B161" s="56" t="s">
        <v>549</v>
      </c>
      <c r="C161" s="58" t="s">
        <v>304</v>
      </c>
      <c r="D161" s="60">
        <v>2.0</v>
      </c>
      <c r="E161" s="66">
        <f t="shared" si="1"/>
        <v>1</v>
      </c>
      <c r="F161" s="68">
        <f t="shared" si="2"/>
        <v>2</v>
      </c>
      <c r="G161" s="68">
        <f t="shared" si="3"/>
        <v>0</v>
      </c>
      <c r="H161" s="72">
        <f t="shared" si="4"/>
        <v>0</v>
      </c>
      <c r="I161" s="73">
        <v>1.0</v>
      </c>
      <c r="J161" s="74"/>
      <c r="K161" s="75">
        <v>0.1</v>
      </c>
      <c r="L161" s="76">
        <v>0.0</v>
      </c>
      <c r="M161" s="79"/>
      <c r="N161" s="82"/>
      <c r="O161" s="85"/>
    </row>
    <row r="162">
      <c r="A162" s="55" t="s">
        <v>501</v>
      </c>
      <c r="B162" s="56" t="s">
        <v>549</v>
      </c>
      <c r="C162" s="58" t="s">
        <v>310</v>
      </c>
      <c r="D162" s="60">
        <v>3.0</v>
      </c>
      <c r="E162" s="66">
        <f t="shared" si="1"/>
        <v>1</v>
      </c>
      <c r="F162" s="68">
        <f t="shared" si="2"/>
        <v>3</v>
      </c>
      <c r="G162" s="68">
        <f t="shared" si="3"/>
        <v>0</v>
      </c>
      <c r="H162" s="72">
        <f t="shared" si="4"/>
        <v>0</v>
      </c>
      <c r="I162" s="73">
        <v>1.0</v>
      </c>
      <c r="J162" s="74"/>
      <c r="K162" s="75">
        <v>0.1</v>
      </c>
      <c r="L162" s="76">
        <v>0.0</v>
      </c>
      <c r="M162" s="79"/>
      <c r="N162" s="82"/>
      <c r="O162" s="85"/>
    </row>
    <row r="163">
      <c r="A163" s="55" t="s">
        <v>501</v>
      </c>
      <c r="B163" s="56" t="s">
        <v>549</v>
      </c>
      <c r="C163" s="58" t="s">
        <v>313</v>
      </c>
      <c r="D163" s="60">
        <v>3.0</v>
      </c>
      <c r="E163" s="98">
        <f t="shared" si="1"/>
        <v>1</v>
      </c>
      <c r="F163" s="68">
        <f t="shared" si="2"/>
        <v>3</v>
      </c>
      <c r="G163" s="68">
        <f t="shared" si="3"/>
        <v>0</v>
      </c>
      <c r="H163" s="72">
        <f t="shared" si="4"/>
        <v>0</v>
      </c>
      <c r="I163" s="73">
        <v>1.0</v>
      </c>
      <c r="J163" s="74"/>
      <c r="K163" s="75">
        <v>0.1</v>
      </c>
      <c r="L163" s="76">
        <v>0.0</v>
      </c>
      <c r="M163" s="79"/>
      <c r="N163" s="82"/>
      <c r="O163" s="85"/>
    </row>
    <row r="164">
      <c r="A164" s="55" t="s">
        <v>501</v>
      </c>
      <c r="B164" s="56" t="s">
        <v>549</v>
      </c>
      <c r="C164" s="58" t="s">
        <v>316</v>
      </c>
      <c r="D164" s="60">
        <v>2.0</v>
      </c>
      <c r="E164" s="98">
        <f t="shared" si="1"/>
        <v>1</v>
      </c>
      <c r="F164" s="68">
        <f t="shared" si="2"/>
        <v>2</v>
      </c>
      <c r="G164" s="68">
        <f t="shared" si="3"/>
        <v>0</v>
      </c>
      <c r="H164" s="72">
        <f t="shared" si="4"/>
        <v>0</v>
      </c>
      <c r="I164" s="73">
        <v>1.0</v>
      </c>
      <c r="J164" s="74"/>
      <c r="K164" s="75">
        <v>0.1</v>
      </c>
      <c r="L164" s="76">
        <v>0.0</v>
      </c>
      <c r="M164" s="79"/>
      <c r="N164" s="82"/>
      <c r="O164" s="85"/>
    </row>
    <row r="165">
      <c r="A165" s="55" t="s">
        <v>501</v>
      </c>
      <c r="B165" s="56" t="s">
        <v>549</v>
      </c>
      <c r="C165" s="58" t="s">
        <v>331</v>
      </c>
      <c r="D165" s="60">
        <v>2.0</v>
      </c>
      <c r="E165" s="66">
        <f t="shared" si="1"/>
        <v>1</v>
      </c>
      <c r="F165" s="68">
        <f t="shared" si="2"/>
        <v>2</v>
      </c>
      <c r="G165" s="68">
        <f t="shared" si="3"/>
        <v>0</v>
      </c>
      <c r="H165" s="72">
        <f t="shared" si="4"/>
        <v>0</v>
      </c>
      <c r="I165" s="73">
        <v>1.0</v>
      </c>
      <c r="J165" s="74"/>
      <c r="K165" s="75">
        <v>0.1</v>
      </c>
      <c r="L165" s="76">
        <v>0.0</v>
      </c>
      <c r="M165" s="79"/>
      <c r="N165" s="82"/>
      <c r="O165" s="85"/>
    </row>
    <row r="166">
      <c r="A166" s="55" t="s">
        <v>501</v>
      </c>
      <c r="B166" s="56" t="s">
        <v>549</v>
      </c>
      <c r="C166" s="64" t="s">
        <v>319</v>
      </c>
      <c r="D166" s="67">
        <v>2.0</v>
      </c>
      <c r="E166" s="66">
        <f t="shared" si="1"/>
        <v>1</v>
      </c>
      <c r="F166" s="70">
        <f t="shared" si="2"/>
        <v>2</v>
      </c>
      <c r="G166" s="70">
        <f t="shared" si="3"/>
        <v>0</v>
      </c>
      <c r="H166" s="77">
        <f t="shared" si="4"/>
        <v>0</v>
      </c>
      <c r="I166" s="78">
        <v>1.0</v>
      </c>
      <c r="J166" s="80"/>
      <c r="K166" s="84">
        <v>0.1</v>
      </c>
      <c r="L166" s="163">
        <v>0.0</v>
      </c>
      <c r="M166" s="88"/>
      <c r="N166" s="90"/>
      <c r="O166" s="91"/>
    </row>
    <row r="167">
      <c r="A167" s="55" t="s">
        <v>501</v>
      </c>
      <c r="B167" s="56" t="s">
        <v>549</v>
      </c>
      <c r="C167" s="58" t="s">
        <v>321</v>
      </c>
      <c r="D167" s="60">
        <v>2.0</v>
      </c>
      <c r="E167" s="66">
        <f t="shared" si="1"/>
        <v>1</v>
      </c>
      <c r="F167" s="68">
        <f t="shared" si="2"/>
        <v>2</v>
      </c>
      <c r="G167" s="68">
        <f t="shared" si="3"/>
        <v>0</v>
      </c>
      <c r="H167" s="72">
        <f t="shared" si="4"/>
        <v>0</v>
      </c>
      <c r="I167" s="73">
        <v>1.0</v>
      </c>
      <c r="J167" s="74"/>
      <c r="K167" s="75">
        <v>0.1</v>
      </c>
      <c r="L167" s="76">
        <v>0.0</v>
      </c>
      <c r="M167" s="79"/>
      <c r="N167" s="82"/>
      <c r="O167" s="85"/>
    </row>
    <row r="168">
      <c r="A168" s="55" t="s">
        <v>501</v>
      </c>
      <c r="B168" s="56" t="s">
        <v>549</v>
      </c>
      <c r="C168" s="58" t="s">
        <v>635</v>
      </c>
      <c r="D168" s="60">
        <v>0.5</v>
      </c>
      <c r="E168" s="66">
        <f t="shared" si="1"/>
        <v>1</v>
      </c>
      <c r="F168" s="68">
        <f t="shared" si="2"/>
        <v>0.5</v>
      </c>
      <c r="G168" s="68">
        <f t="shared" si="3"/>
        <v>0</v>
      </c>
      <c r="H168" s="72">
        <f t="shared" si="4"/>
        <v>0</v>
      </c>
      <c r="I168" s="73">
        <v>1.0</v>
      </c>
      <c r="J168" s="74"/>
      <c r="K168" s="75">
        <v>0.1</v>
      </c>
      <c r="L168" s="76">
        <v>0.0</v>
      </c>
      <c r="M168" s="79"/>
      <c r="N168" s="82"/>
      <c r="O168" s="85"/>
    </row>
    <row r="169">
      <c r="A169" s="55" t="s">
        <v>501</v>
      </c>
      <c r="B169" s="56" t="s">
        <v>549</v>
      </c>
      <c r="C169" s="58" t="s">
        <v>637</v>
      </c>
      <c r="D169" s="60">
        <v>0.5</v>
      </c>
      <c r="E169" s="66">
        <f t="shared" si="1"/>
        <v>1</v>
      </c>
      <c r="F169" s="68">
        <f t="shared" si="2"/>
        <v>0.5</v>
      </c>
      <c r="G169" s="68">
        <f t="shared" si="3"/>
        <v>0</v>
      </c>
      <c r="H169" s="72">
        <f t="shared" si="4"/>
        <v>0</v>
      </c>
      <c r="I169" s="73">
        <v>1.0</v>
      </c>
      <c r="J169" s="74"/>
      <c r="K169" s="75">
        <v>0.1</v>
      </c>
      <c r="L169" s="76">
        <v>0.0</v>
      </c>
      <c r="M169" s="79"/>
      <c r="N169" s="82"/>
      <c r="O169" s="85"/>
    </row>
    <row r="170">
      <c r="A170" s="55" t="s">
        <v>501</v>
      </c>
      <c r="B170" s="56" t="s">
        <v>549</v>
      </c>
      <c r="C170" s="58" t="s">
        <v>338</v>
      </c>
      <c r="D170" s="60">
        <v>2.0</v>
      </c>
      <c r="E170" s="66">
        <f t="shared" si="1"/>
        <v>1</v>
      </c>
      <c r="F170" s="68">
        <f t="shared" si="2"/>
        <v>2</v>
      </c>
      <c r="G170" s="68">
        <f t="shared" si="3"/>
        <v>0</v>
      </c>
      <c r="H170" s="72">
        <f t="shared" si="4"/>
        <v>0</v>
      </c>
      <c r="I170" s="73">
        <v>1.0</v>
      </c>
      <c r="J170" s="74"/>
      <c r="K170" s="75">
        <v>0.1</v>
      </c>
      <c r="L170" s="76">
        <v>0.0</v>
      </c>
      <c r="M170" s="79"/>
      <c r="N170" s="82"/>
      <c r="O170" s="85"/>
    </row>
    <row r="171">
      <c r="A171" s="55" t="s">
        <v>501</v>
      </c>
      <c r="B171" s="56" t="s">
        <v>549</v>
      </c>
      <c r="C171" s="58" t="s">
        <v>642</v>
      </c>
      <c r="D171" s="60">
        <v>3.5</v>
      </c>
      <c r="E171" s="66">
        <f t="shared" si="1"/>
        <v>1</v>
      </c>
      <c r="F171" s="68">
        <f t="shared" si="2"/>
        <v>3.5</v>
      </c>
      <c r="G171" s="68">
        <f t="shared" si="3"/>
        <v>0</v>
      </c>
      <c r="H171" s="72">
        <f t="shared" si="4"/>
        <v>0</v>
      </c>
      <c r="I171" s="73">
        <v>1.0</v>
      </c>
      <c r="J171" s="74"/>
      <c r="K171" s="75">
        <v>0.1</v>
      </c>
      <c r="L171" s="76">
        <v>0.0</v>
      </c>
      <c r="M171" s="79"/>
      <c r="N171" s="82"/>
      <c r="O171" s="85"/>
    </row>
    <row r="172">
      <c r="A172" s="55" t="s">
        <v>501</v>
      </c>
      <c r="B172" s="56" t="s">
        <v>549</v>
      </c>
      <c r="C172" s="58" t="s">
        <v>646</v>
      </c>
      <c r="D172" s="60">
        <v>2.5</v>
      </c>
      <c r="E172" s="66">
        <f t="shared" si="1"/>
        <v>1</v>
      </c>
      <c r="F172" s="68">
        <f t="shared" si="2"/>
        <v>2.5</v>
      </c>
      <c r="G172" s="68">
        <f t="shared" si="3"/>
        <v>0</v>
      </c>
      <c r="H172" s="72">
        <f t="shared" si="4"/>
        <v>0</v>
      </c>
      <c r="I172" s="73">
        <v>1.0</v>
      </c>
      <c r="J172" s="74"/>
      <c r="K172" s="75">
        <v>0.1</v>
      </c>
      <c r="L172" s="76">
        <v>0.0</v>
      </c>
      <c r="M172" s="79"/>
      <c r="N172" s="82"/>
      <c r="O172" s="85"/>
    </row>
    <row r="173">
      <c r="A173" s="55" t="s">
        <v>501</v>
      </c>
      <c r="B173" s="56" t="s">
        <v>549</v>
      </c>
      <c r="C173" s="58" t="s">
        <v>650</v>
      </c>
      <c r="D173" s="60">
        <v>2.0</v>
      </c>
      <c r="E173" s="66">
        <f t="shared" si="1"/>
        <v>1</v>
      </c>
      <c r="F173" s="68">
        <f t="shared" si="2"/>
        <v>2</v>
      </c>
      <c r="G173" s="68">
        <f t="shared" si="3"/>
        <v>0</v>
      </c>
      <c r="H173" s="72">
        <f t="shared" si="4"/>
        <v>0</v>
      </c>
      <c r="I173" s="73">
        <v>1.0</v>
      </c>
      <c r="J173" s="74"/>
      <c r="K173" s="75">
        <v>0.1</v>
      </c>
      <c r="L173" s="76">
        <v>0.0</v>
      </c>
      <c r="M173" s="79"/>
      <c r="N173" s="82"/>
      <c r="O173" s="85"/>
    </row>
    <row r="174">
      <c r="A174" s="55" t="s">
        <v>501</v>
      </c>
      <c r="B174" s="56" t="s">
        <v>549</v>
      </c>
      <c r="C174" s="58" t="s">
        <v>652</v>
      </c>
      <c r="D174" s="60">
        <v>1.5</v>
      </c>
      <c r="E174" s="66">
        <f t="shared" si="1"/>
        <v>1</v>
      </c>
      <c r="F174" s="68">
        <f t="shared" si="2"/>
        <v>1.5</v>
      </c>
      <c r="G174" s="68">
        <f t="shared" si="3"/>
        <v>0</v>
      </c>
      <c r="H174" s="72">
        <f t="shared" si="4"/>
        <v>0</v>
      </c>
      <c r="I174" s="73">
        <v>1.0</v>
      </c>
      <c r="J174" s="74"/>
      <c r="K174" s="75">
        <v>0.1</v>
      </c>
      <c r="L174" s="76">
        <v>0.0</v>
      </c>
      <c r="M174" s="79"/>
      <c r="N174" s="82"/>
      <c r="O174" s="85"/>
    </row>
    <row r="175">
      <c r="A175" s="55" t="s">
        <v>501</v>
      </c>
      <c r="B175" s="56" t="s">
        <v>549</v>
      </c>
      <c r="C175" s="58" t="s">
        <v>654</v>
      </c>
      <c r="D175" s="60">
        <v>2.5</v>
      </c>
      <c r="E175" s="66">
        <f t="shared" si="1"/>
        <v>1</v>
      </c>
      <c r="F175" s="68">
        <f t="shared" si="2"/>
        <v>2.5</v>
      </c>
      <c r="G175" s="68">
        <f t="shared" si="3"/>
        <v>0</v>
      </c>
      <c r="H175" s="72">
        <f t="shared" si="4"/>
        <v>0</v>
      </c>
      <c r="I175" s="73">
        <v>1.0</v>
      </c>
      <c r="J175" s="74"/>
      <c r="K175" s="75">
        <v>0.1</v>
      </c>
      <c r="L175" s="76">
        <v>0.0</v>
      </c>
      <c r="M175" s="79"/>
      <c r="N175" s="82"/>
      <c r="O175" s="85"/>
    </row>
    <row r="176">
      <c r="A176" s="55" t="s">
        <v>501</v>
      </c>
      <c r="B176" s="56" t="s">
        <v>549</v>
      </c>
      <c r="C176" s="58" t="s">
        <v>656</v>
      </c>
      <c r="D176" s="60">
        <v>1.5</v>
      </c>
      <c r="E176" s="98">
        <f t="shared" si="1"/>
        <v>0.9266666667</v>
      </c>
      <c r="F176" s="68">
        <f t="shared" si="2"/>
        <v>1.39</v>
      </c>
      <c r="G176" s="68">
        <f t="shared" si="3"/>
        <v>0.11</v>
      </c>
      <c r="H176" s="72">
        <f t="shared" si="4"/>
        <v>0.1</v>
      </c>
      <c r="I176" s="73">
        <v>80.0</v>
      </c>
      <c r="J176" s="74">
        <v>8.0</v>
      </c>
      <c r="K176" s="75">
        <v>0.1</v>
      </c>
      <c r="L176" s="76">
        <v>0.0</v>
      </c>
      <c r="M176" s="79"/>
      <c r="N176" s="82"/>
      <c r="O176" s="85"/>
    </row>
    <row r="177">
      <c r="A177" s="55" t="s">
        <v>501</v>
      </c>
      <c r="B177" s="56" t="s">
        <v>549</v>
      </c>
      <c r="C177" s="58" t="s">
        <v>354</v>
      </c>
      <c r="D177" s="60">
        <v>3.0</v>
      </c>
      <c r="E177" s="66">
        <f t="shared" si="1"/>
        <v>1</v>
      </c>
      <c r="F177" s="68">
        <f t="shared" si="2"/>
        <v>3</v>
      </c>
      <c r="G177" s="68">
        <f t="shared" si="3"/>
        <v>0</v>
      </c>
      <c r="H177" s="72">
        <f t="shared" si="4"/>
        <v>0</v>
      </c>
      <c r="I177" s="73">
        <v>1.0</v>
      </c>
      <c r="J177" s="74"/>
      <c r="K177" s="75">
        <v>0.1</v>
      </c>
      <c r="L177" s="76">
        <v>0.0</v>
      </c>
      <c r="M177" s="79"/>
      <c r="N177" s="82"/>
      <c r="O177" s="85"/>
    </row>
    <row r="178">
      <c r="A178" s="55" t="s">
        <v>501</v>
      </c>
      <c r="B178" s="56" t="s">
        <v>549</v>
      </c>
      <c r="C178" s="58" t="s">
        <v>357</v>
      </c>
      <c r="D178" s="60">
        <v>1.5</v>
      </c>
      <c r="E178" s="66">
        <f t="shared" si="1"/>
        <v>1</v>
      </c>
      <c r="F178" s="68">
        <f t="shared" si="2"/>
        <v>1.5</v>
      </c>
      <c r="G178" s="68">
        <f t="shared" si="3"/>
        <v>0</v>
      </c>
      <c r="H178" s="72">
        <f t="shared" si="4"/>
        <v>0</v>
      </c>
      <c r="I178" s="73">
        <v>1.0</v>
      </c>
      <c r="J178" s="74"/>
      <c r="K178" s="75">
        <v>0.1</v>
      </c>
      <c r="L178" s="76">
        <v>0.0</v>
      </c>
      <c r="M178" s="79"/>
      <c r="N178" s="82"/>
      <c r="O178" s="85"/>
    </row>
    <row r="179">
      <c r="A179" s="55" t="s">
        <v>501</v>
      </c>
      <c r="B179" s="56" t="s">
        <v>549</v>
      </c>
      <c r="C179" s="58" t="s">
        <v>409</v>
      </c>
      <c r="D179" s="60">
        <v>2.0</v>
      </c>
      <c r="E179" s="66">
        <f t="shared" si="1"/>
        <v>1</v>
      </c>
      <c r="F179" s="68">
        <f t="shared" si="2"/>
        <v>2</v>
      </c>
      <c r="G179" s="68">
        <f t="shared" si="3"/>
        <v>0</v>
      </c>
      <c r="H179" s="72">
        <f t="shared" si="4"/>
        <v>0</v>
      </c>
      <c r="I179" s="73">
        <v>1.0</v>
      </c>
      <c r="J179" s="74"/>
      <c r="K179" s="75">
        <v>0.1</v>
      </c>
      <c r="L179" s="76">
        <v>0.0</v>
      </c>
      <c r="M179" s="79"/>
      <c r="N179" s="82"/>
      <c r="O179" s="85"/>
    </row>
    <row r="180">
      <c r="A180" s="55" t="s">
        <v>501</v>
      </c>
      <c r="B180" s="56" t="s">
        <v>549</v>
      </c>
      <c r="C180" s="58" t="s">
        <v>365</v>
      </c>
      <c r="D180" s="60">
        <v>2.0</v>
      </c>
      <c r="E180" s="66">
        <f t="shared" si="1"/>
        <v>1</v>
      </c>
      <c r="F180" s="68">
        <f t="shared" si="2"/>
        <v>2</v>
      </c>
      <c r="G180" s="68">
        <f t="shared" si="3"/>
        <v>0</v>
      </c>
      <c r="H180" s="72">
        <f t="shared" si="4"/>
        <v>0</v>
      </c>
      <c r="I180" s="73">
        <v>1.0</v>
      </c>
      <c r="J180" s="74"/>
      <c r="K180" s="75">
        <v>0.1</v>
      </c>
      <c r="L180" s="76">
        <v>0.0</v>
      </c>
      <c r="M180" s="79"/>
      <c r="N180" s="82"/>
      <c r="O180" s="85"/>
    </row>
    <row r="181">
      <c r="A181" s="55" t="s">
        <v>501</v>
      </c>
      <c r="B181" s="56" t="s">
        <v>549</v>
      </c>
      <c r="C181" s="58" t="s">
        <v>662</v>
      </c>
      <c r="D181" s="60">
        <v>1.0</v>
      </c>
      <c r="E181" s="98">
        <f t="shared" si="1"/>
        <v>1</v>
      </c>
      <c r="F181" s="68">
        <f t="shared" si="2"/>
        <v>1</v>
      </c>
      <c r="G181" s="68">
        <f t="shared" si="3"/>
        <v>0</v>
      </c>
      <c r="H181" s="72">
        <f t="shared" si="4"/>
        <v>0</v>
      </c>
      <c r="I181" s="73">
        <v>1.0</v>
      </c>
      <c r="J181" s="74"/>
      <c r="K181" s="75">
        <v>0.1</v>
      </c>
      <c r="L181" s="76">
        <v>0.0</v>
      </c>
      <c r="M181" s="79"/>
      <c r="N181" s="82"/>
      <c r="O181" s="85"/>
    </row>
    <row r="182">
      <c r="A182" s="55" t="s">
        <v>501</v>
      </c>
      <c r="B182" s="56" t="s">
        <v>549</v>
      </c>
      <c r="C182" s="58" t="s">
        <v>665</v>
      </c>
      <c r="D182" s="60">
        <v>10.0</v>
      </c>
      <c r="E182" s="98">
        <f t="shared" si="1"/>
        <v>1</v>
      </c>
      <c r="F182" s="68">
        <f t="shared" si="2"/>
        <v>10</v>
      </c>
      <c r="G182" s="68">
        <f t="shared" si="3"/>
        <v>0</v>
      </c>
      <c r="H182" s="72">
        <f t="shared" si="4"/>
        <v>0</v>
      </c>
      <c r="I182" s="73">
        <v>1.0</v>
      </c>
      <c r="J182" s="74"/>
      <c r="K182" s="75">
        <v>0.1</v>
      </c>
      <c r="L182" s="76">
        <v>0.0</v>
      </c>
      <c r="M182" s="79"/>
      <c r="N182" s="82"/>
      <c r="O182" s="85"/>
    </row>
    <row r="183">
      <c r="A183" s="55" t="s">
        <v>501</v>
      </c>
      <c r="B183" s="56" t="s">
        <v>549</v>
      </c>
      <c r="C183" s="58" t="s">
        <v>667</v>
      </c>
      <c r="D183" s="60">
        <v>3.0</v>
      </c>
      <c r="E183" s="98">
        <f t="shared" si="1"/>
        <v>1</v>
      </c>
      <c r="F183" s="68">
        <f t="shared" si="2"/>
        <v>3</v>
      </c>
      <c r="G183" s="68">
        <f t="shared" si="3"/>
        <v>0</v>
      </c>
      <c r="H183" s="72">
        <f t="shared" si="4"/>
        <v>0</v>
      </c>
      <c r="I183" s="73">
        <v>1.0</v>
      </c>
      <c r="J183" s="74"/>
      <c r="K183" s="75">
        <v>0.1</v>
      </c>
      <c r="L183" s="76">
        <v>0.0</v>
      </c>
      <c r="M183" s="79"/>
      <c r="N183" s="82"/>
      <c r="O183" s="85"/>
    </row>
    <row r="184">
      <c r="A184" s="55" t="s">
        <v>501</v>
      </c>
      <c r="B184" s="56" t="s">
        <v>549</v>
      </c>
      <c r="C184" s="58" t="s">
        <v>669</v>
      </c>
      <c r="D184" s="60">
        <v>3.0</v>
      </c>
      <c r="E184" s="98">
        <f t="shared" si="1"/>
        <v>1</v>
      </c>
      <c r="F184" s="68">
        <f t="shared" si="2"/>
        <v>3</v>
      </c>
      <c r="G184" s="68">
        <f t="shared" si="3"/>
        <v>0</v>
      </c>
      <c r="H184" s="72">
        <f t="shared" si="4"/>
        <v>0</v>
      </c>
      <c r="I184" s="73">
        <v>1.0</v>
      </c>
      <c r="J184" s="74"/>
      <c r="K184" s="75">
        <v>0.1</v>
      </c>
      <c r="L184" s="76">
        <v>0.0</v>
      </c>
      <c r="M184" s="79"/>
      <c r="N184" s="82"/>
      <c r="O184" s="85"/>
    </row>
    <row r="185">
      <c r="A185" s="55" t="s">
        <v>501</v>
      </c>
      <c r="B185" s="56" t="s">
        <v>549</v>
      </c>
      <c r="C185" s="58" t="s">
        <v>671</v>
      </c>
      <c r="D185" s="60">
        <v>3.5</v>
      </c>
      <c r="E185" s="98">
        <f t="shared" si="1"/>
        <v>1</v>
      </c>
      <c r="F185" s="68">
        <f t="shared" si="2"/>
        <v>3.5</v>
      </c>
      <c r="G185" s="68">
        <f t="shared" si="3"/>
        <v>0</v>
      </c>
      <c r="H185" s="72">
        <f t="shared" si="4"/>
        <v>0</v>
      </c>
      <c r="I185" s="73">
        <v>1.0</v>
      </c>
      <c r="J185" s="74"/>
      <c r="K185" s="75">
        <v>0.1</v>
      </c>
      <c r="L185" s="76">
        <v>0.0</v>
      </c>
      <c r="M185" s="79"/>
      <c r="N185" s="82"/>
      <c r="O185" s="85"/>
    </row>
    <row r="186">
      <c r="A186" s="55" t="s">
        <v>501</v>
      </c>
      <c r="B186" s="56" t="s">
        <v>549</v>
      </c>
      <c r="C186" s="58" t="s">
        <v>675</v>
      </c>
      <c r="D186" s="60"/>
      <c r="E186" s="98" t="str">
        <f t="shared" si="1"/>
        <v/>
      </c>
      <c r="F186" s="68">
        <f t="shared" si="2"/>
        <v>0</v>
      </c>
      <c r="G186" s="68">
        <f t="shared" si="3"/>
        <v>0</v>
      </c>
      <c r="H186" s="72">
        <f t="shared" si="4"/>
        <v>0</v>
      </c>
      <c r="I186" s="73">
        <v>1.0</v>
      </c>
      <c r="J186" s="74"/>
      <c r="K186" s="75">
        <v>0.1</v>
      </c>
      <c r="L186" s="76">
        <v>0.0</v>
      </c>
      <c r="M186" s="79"/>
      <c r="N186" s="82"/>
      <c r="O186" s="85"/>
    </row>
    <row r="187">
      <c r="A187" s="55" t="s">
        <v>501</v>
      </c>
      <c r="B187" s="56" t="s">
        <v>549</v>
      </c>
      <c r="C187" s="58" t="s">
        <v>378</v>
      </c>
      <c r="D187" s="60">
        <v>1.5</v>
      </c>
      <c r="E187" s="66">
        <f t="shared" si="1"/>
        <v>1</v>
      </c>
      <c r="F187" s="68">
        <f t="shared" si="2"/>
        <v>1.5</v>
      </c>
      <c r="G187" s="68">
        <f t="shared" si="3"/>
        <v>0</v>
      </c>
      <c r="H187" s="72">
        <f t="shared" si="4"/>
        <v>0</v>
      </c>
      <c r="I187" s="73">
        <v>1.0</v>
      </c>
      <c r="J187" s="74"/>
      <c r="K187" s="75">
        <v>0.1</v>
      </c>
      <c r="L187" s="76">
        <v>0.0</v>
      </c>
      <c r="M187" s="79"/>
      <c r="N187" s="82"/>
      <c r="O187" s="85"/>
    </row>
    <row r="188">
      <c r="A188" s="57" t="s">
        <v>501</v>
      </c>
      <c r="B188" s="59" t="s">
        <v>549</v>
      </c>
      <c r="C188" s="114" t="s">
        <v>381</v>
      </c>
      <c r="D188" s="116">
        <v>1.0</v>
      </c>
      <c r="E188" s="69">
        <f t="shared" si="1"/>
        <v>1</v>
      </c>
      <c r="F188" s="117">
        <f t="shared" si="2"/>
        <v>1</v>
      </c>
      <c r="G188" s="117">
        <f t="shared" si="3"/>
        <v>0</v>
      </c>
      <c r="H188" s="118">
        <f t="shared" si="4"/>
        <v>0</v>
      </c>
      <c r="I188" s="119">
        <v>1.0</v>
      </c>
      <c r="J188" s="108"/>
      <c r="K188" s="120">
        <v>0.1</v>
      </c>
      <c r="L188" s="157">
        <v>0.0</v>
      </c>
      <c r="M188" s="122"/>
      <c r="N188" s="123"/>
      <c r="O188" s="125"/>
    </row>
  </sheetData>
  <mergeCells count="210">
    <mergeCell ref="A1:B3"/>
    <mergeCell ref="C1:C3"/>
    <mergeCell ref="M1:N1"/>
    <mergeCell ref="F2:F3"/>
    <mergeCell ref="I2:I3"/>
    <mergeCell ref="K2:K3"/>
    <mergeCell ref="L2:L3"/>
    <mergeCell ref="A5:B5"/>
    <mergeCell ref="D5:D6"/>
    <mergeCell ref="E5:F5"/>
    <mergeCell ref="K5:K6"/>
    <mergeCell ref="M5:N6"/>
    <mergeCell ref="O5:O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3:N103"/>
    <mergeCell ref="M104:N104"/>
    <mergeCell ref="M102:N102"/>
    <mergeCell ref="M105:N105"/>
    <mergeCell ref="M99:N99"/>
    <mergeCell ref="M100:N100"/>
    <mergeCell ref="A102:B102"/>
    <mergeCell ref="A103:B103"/>
    <mergeCell ref="A104:B104"/>
    <mergeCell ref="A105:B105"/>
    <mergeCell ref="A106:B106"/>
    <mergeCell ref="A110:B110"/>
    <mergeCell ref="A111:B111"/>
    <mergeCell ref="A112:B112"/>
    <mergeCell ref="A113:B113"/>
    <mergeCell ref="A114:B114"/>
    <mergeCell ref="A115:B115"/>
    <mergeCell ref="A116:B116"/>
    <mergeCell ref="A107:B107"/>
    <mergeCell ref="M107:N107"/>
    <mergeCell ref="A108:B108"/>
    <mergeCell ref="M108:N108"/>
    <mergeCell ref="A109:B109"/>
    <mergeCell ref="M109:N109"/>
    <mergeCell ref="M110:N110"/>
    <mergeCell ref="M101:N101"/>
    <mergeCell ref="M106:N106"/>
    <mergeCell ref="M111:N111"/>
    <mergeCell ref="M112:N112"/>
    <mergeCell ref="M113:N113"/>
    <mergeCell ref="M114:N114"/>
    <mergeCell ref="M115:N115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86:N186"/>
    <mergeCell ref="M187:N187"/>
    <mergeCell ref="M188:N188"/>
    <mergeCell ref="M179:N179"/>
    <mergeCell ref="M180:N180"/>
    <mergeCell ref="M181:N181"/>
    <mergeCell ref="M182:N182"/>
    <mergeCell ref="M183:N183"/>
    <mergeCell ref="M184:N184"/>
    <mergeCell ref="M185:N18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</mergeCells>
  <conditionalFormatting sqref="E7:E188">
    <cfRule type="cellIs" dxfId="0" priority="1" operator="lessThan">
      <formula>0</formula>
    </cfRule>
  </conditionalFormatting>
  <dataValidations>
    <dataValidation type="list" allowBlank="1" sqref="L2 L7:L188">
      <formula1>'Menjars - La Parròquia'!$E$2:$E$4</formula1>
    </dataValidation>
    <dataValidation type="list" allowBlank="1" sqref="K2 O2 K7:K188">
      <formula1>'Menjars - La Parròquia'!$D$2:$D$3</formula1>
    </dataValidation>
  </dataValidations>
  <printOptions gridLines="1" horizontalCentered="1"/>
  <pageMargins bottom="0.6" footer="0.0" header="0.0" left="1.1811066006103306" right="1.968503937007874" top="0.6"/>
  <pageSetup paperSize="9" scale="5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6.38"/>
    <col customWidth="1" min="4" max="4" width="7.63"/>
    <col customWidth="1" min="5" max="5" width="5.88" outlineLevel="1"/>
    <col customWidth="1" min="6" max="8" width="7.63" outlineLevel="1"/>
    <col customWidth="1" min="9" max="10" width="6.38" outlineLevel="1"/>
    <col customWidth="1" min="11" max="12" width="7.63" outlineLevel="1"/>
    <col customWidth="1" min="13" max="14" width="8.88" outlineLevel="1"/>
    <col customWidth="1" min="15" max="15" width="16.38" outlineLevel="1"/>
  </cols>
  <sheetData>
    <row r="1" outlineLevel="1">
      <c r="A1" s="1"/>
      <c r="C1" s="2" t="s">
        <v>6</v>
      </c>
      <c r="D1" s="3"/>
      <c r="E1" s="3" t="s">
        <v>1</v>
      </c>
      <c r="F1" s="4" t="s">
        <v>2</v>
      </c>
      <c r="G1" s="4" t="s">
        <v>3</v>
      </c>
      <c r="H1" s="5" t="s">
        <v>4</v>
      </c>
      <c r="I1" s="4" t="s">
        <v>5</v>
      </c>
      <c r="J1" s="4" t="s">
        <v>7</v>
      </c>
      <c r="K1" s="4" t="s">
        <v>8</v>
      </c>
      <c r="L1" s="4" t="s">
        <v>9</v>
      </c>
      <c r="M1" s="6" t="s">
        <v>10</v>
      </c>
      <c r="O1" s="4" t="s">
        <v>8</v>
      </c>
    </row>
    <row r="2" outlineLevel="1">
      <c r="D2" s="7">
        <v>0.21</v>
      </c>
      <c r="E2" s="7">
        <v>0.052</v>
      </c>
      <c r="F2" s="8">
        <v>1.0</v>
      </c>
      <c r="G2" s="10">
        <f>H2+(H2*K2)+(H2*L2)</f>
        <v>1.21</v>
      </c>
      <c r="H2" s="11">
        <v>1.0</v>
      </c>
      <c r="I2" s="12">
        <v>1.0</v>
      </c>
      <c r="J2" s="13">
        <f>F2*I2*H2</f>
        <v>1</v>
      </c>
      <c r="K2" s="15">
        <v>0.21</v>
      </c>
      <c r="L2" s="16">
        <v>0.0</v>
      </c>
      <c r="M2" s="17" t="s">
        <v>12</v>
      </c>
      <c r="N2" s="18">
        <v>9.87</v>
      </c>
      <c r="O2" s="19">
        <v>0.1</v>
      </c>
    </row>
    <row r="3" ht="15.75" customHeight="1" outlineLevel="1">
      <c r="A3" s="20"/>
      <c r="B3" s="20"/>
      <c r="C3" s="20"/>
      <c r="D3" s="7">
        <v>0.1</v>
      </c>
      <c r="E3" s="7">
        <v>0.014</v>
      </c>
      <c r="F3" s="21"/>
      <c r="G3" s="10">
        <f>H3+(H3*K2)+(H3*L2)</f>
        <v>1.4641</v>
      </c>
      <c r="H3" s="22">
        <f>J3/(F2*I2)</f>
        <v>1.21</v>
      </c>
      <c r="I3" s="23"/>
      <c r="J3" s="24">
        <v>1.21</v>
      </c>
      <c r="K3" s="25"/>
      <c r="L3" s="26"/>
      <c r="M3" s="28" t="s">
        <v>4</v>
      </c>
      <c r="N3" s="29">
        <f>N2/D4</f>
        <v>8.972727273</v>
      </c>
      <c r="O3" s="31">
        <f>N3</f>
        <v>8.972727273</v>
      </c>
    </row>
    <row r="4" ht="5.25" customHeight="1" outlineLevel="1">
      <c r="A4" s="32"/>
      <c r="B4" s="32"/>
      <c r="C4" s="34"/>
      <c r="D4" s="35">
        <f>IFS($O$2=21%,1.21,$O$2=10%,1.1)</f>
        <v>1.1</v>
      </c>
      <c r="E4" s="35">
        <v>0.0</v>
      </c>
      <c r="F4" s="36"/>
      <c r="G4" s="36"/>
      <c r="H4" s="36"/>
      <c r="I4" s="36"/>
      <c r="J4" s="36"/>
      <c r="K4" s="36"/>
      <c r="L4" s="36"/>
      <c r="M4" s="36"/>
      <c r="N4" s="36"/>
      <c r="O4" s="36"/>
    </row>
    <row r="5">
      <c r="A5" s="37" t="s">
        <v>13</v>
      </c>
      <c r="B5" s="38"/>
      <c r="C5" s="39" t="s">
        <v>6</v>
      </c>
      <c r="D5" s="40" t="s">
        <v>12</v>
      </c>
      <c r="E5" s="42" t="s">
        <v>15</v>
      </c>
      <c r="F5" s="43"/>
      <c r="G5" s="44" t="s">
        <v>16</v>
      </c>
      <c r="H5" s="45" t="s">
        <v>17</v>
      </c>
      <c r="I5" s="46" t="s">
        <v>18</v>
      </c>
      <c r="J5" s="41" t="s">
        <v>19</v>
      </c>
      <c r="K5" s="47" t="s">
        <v>8</v>
      </c>
      <c r="L5" s="48" t="s">
        <v>20</v>
      </c>
      <c r="M5" s="47" t="s">
        <v>21</v>
      </c>
      <c r="N5" s="49"/>
      <c r="O5" s="47" t="s">
        <v>22</v>
      </c>
    </row>
    <row r="6">
      <c r="A6" s="41" t="s">
        <v>23</v>
      </c>
      <c r="B6" s="41" t="s">
        <v>24</v>
      </c>
      <c r="C6" s="41" t="s">
        <v>26</v>
      </c>
      <c r="D6" s="51"/>
      <c r="E6" s="52" t="s">
        <v>27</v>
      </c>
      <c r="F6" s="41" t="s">
        <v>28</v>
      </c>
      <c r="G6" s="44" t="s">
        <v>29</v>
      </c>
      <c r="H6" s="53" t="s">
        <v>30</v>
      </c>
      <c r="I6" s="46" t="s">
        <v>32</v>
      </c>
      <c r="J6" s="41" t="s">
        <v>32</v>
      </c>
      <c r="K6" s="54"/>
      <c r="L6" s="48" t="s">
        <v>9</v>
      </c>
      <c r="M6" s="54"/>
      <c r="N6" s="49"/>
      <c r="O6" s="54"/>
    </row>
    <row r="7">
      <c r="A7" s="55" t="s">
        <v>34</v>
      </c>
      <c r="B7" s="56"/>
      <c r="C7" s="58" t="s">
        <v>38</v>
      </c>
      <c r="D7" s="60">
        <v>1.0</v>
      </c>
      <c r="E7" s="66">
        <f t="shared" ref="E7:E295" si="1">IF(D7="","",F7/D7)</f>
        <v>-0.639</v>
      </c>
      <c r="F7" s="68">
        <f t="shared" ref="F7:F295" si="2">D7-G7</f>
        <v>-0.639</v>
      </c>
      <c r="G7" s="68">
        <f t="shared" ref="G7:G64" si="3">H7+(H7*K7)+(H7*L7)</f>
        <v>1.639</v>
      </c>
      <c r="H7" s="72">
        <v>1.49</v>
      </c>
      <c r="I7" s="73">
        <v>1.0</v>
      </c>
      <c r="J7" s="74"/>
      <c r="K7" s="75">
        <v>0.1</v>
      </c>
      <c r="L7" s="76">
        <v>0.0</v>
      </c>
      <c r="M7" s="79"/>
      <c r="N7" s="82"/>
      <c r="O7" s="85"/>
    </row>
    <row r="8">
      <c r="A8" s="55" t="s">
        <v>34</v>
      </c>
      <c r="B8" s="56"/>
      <c r="C8" s="58" t="s">
        <v>43</v>
      </c>
      <c r="D8" s="60">
        <v>1.0</v>
      </c>
      <c r="E8" s="66">
        <f t="shared" si="1"/>
        <v>-3.4</v>
      </c>
      <c r="F8" s="68">
        <f t="shared" si="2"/>
        <v>-3.4</v>
      </c>
      <c r="G8" s="68">
        <f t="shared" si="3"/>
        <v>4.4</v>
      </c>
      <c r="H8" s="72">
        <v>4.0</v>
      </c>
      <c r="I8" s="73">
        <v>1.0</v>
      </c>
      <c r="J8" s="74"/>
      <c r="K8" s="75">
        <v>0.1</v>
      </c>
      <c r="L8" s="76">
        <v>0.0</v>
      </c>
      <c r="M8" s="79"/>
      <c r="N8" s="82"/>
      <c r="O8" s="85"/>
    </row>
    <row r="9">
      <c r="A9" s="94" t="s">
        <v>34</v>
      </c>
      <c r="B9" s="96"/>
      <c r="C9" s="58" t="s">
        <v>46</v>
      </c>
      <c r="D9" s="60">
        <v>1.0</v>
      </c>
      <c r="E9" s="98">
        <f t="shared" si="1"/>
        <v>1</v>
      </c>
      <c r="F9" s="68">
        <f t="shared" si="2"/>
        <v>1</v>
      </c>
      <c r="G9" s="68">
        <f t="shared" si="3"/>
        <v>0</v>
      </c>
      <c r="H9" s="72">
        <f>J9/I9</f>
        <v>0</v>
      </c>
      <c r="I9" s="73">
        <v>1.0</v>
      </c>
      <c r="J9" s="74"/>
      <c r="K9" s="75">
        <v>0.1</v>
      </c>
      <c r="L9" s="76">
        <v>0.0</v>
      </c>
      <c r="M9" s="79"/>
      <c r="N9" s="82"/>
      <c r="O9" s="85" t="s">
        <v>51</v>
      </c>
    </row>
    <row r="10">
      <c r="A10" s="55" t="s">
        <v>34</v>
      </c>
      <c r="B10" s="56"/>
      <c r="C10" s="58" t="s">
        <v>53</v>
      </c>
      <c r="D10" s="60">
        <v>1.0</v>
      </c>
      <c r="E10" s="66">
        <f t="shared" si="1"/>
        <v>-0.1</v>
      </c>
      <c r="F10" s="68">
        <f t="shared" si="2"/>
        <v>-0.1</v>
      </c>
      <c r="G10" s="68">
        <f t="shared" si="3"/>
        <v>1.1</v>
      </c>
      <c r="H10" s="72">
        <v>1.0</v>
      </c>
      <c r="I10" s="73">
        <v>1.0</v>
      </c>
      <c r="J10" s="74"/>
      <c r="K10" s="75">
        <v>0.1</v>
      </c>
      <c r="L10" s="76">
        <v>0.0</v>
      </c>
      <c r="M10" s="79"/>
      <c r="N10" s="82"/>
      <c r="O10" s="85"/>
    </row>
    <row r="11">
      <c r="A11" s="55" t="s">
        <v>34</v>
      </c>
      <c r="B11" s="56"/>
      <c r="C11" s="58"/>
      <c r="D11" s="60">
        <v>1.0</v>
      </c>
      <c r="E11" s="66">
        <f t="shared" si="1"/>
        <v>1</v>
      </c>
      <c r="F11" s="68">
        <f t="shared" si="2"/>
        <v>1</v>
      </c>
      <c r="G11" s="68">
        <f t="shared" si="3"/>
        <v>0</v>
      </c>
      <c r="H11" s="72">
        <f t="shared" ref="H11:H18" si="4">J11/I11</f>
        <v>0</v>
      </c>
      <c r="I11" s="73">
        <v>1.0</v>
      </c>
      <c r="J11" s="74"/>
      <c r="K11" s="75">
        <v>0.1</v>
      </c>
      <c r="L11" s="76">
        <v>0.0</v>
      </c>
      <c r="M11" s="79"/>
      <c r="N11" s="82"/>
      <c r="O11" s="85"/>
    </row>
    <row r="12">
      <c r="A12" s="55" t="s">
        <v>34</v>
      </c>
      <c r="B12" s="56"/>
      <c r="C12" s="58" t="s">
        <v>60</v>
      </c>
      <c r="D12" s="60">
        <v>1.0</v>
      </c>
      <c r="E12" s="66">
        <f t="shared" si="1"/>
        <v>1</v>
      </c>
      <c r="F12" s="68">
        <f t="shared" si="2"/>
        <v>1</v>
      </c>
      <c r="G12" s="68">
        <f t="shared" si="3"/>
        <v>0</v>
      </c>
      <c r="H12" s="72">
        <f t="shared" si="4"/>
        <v>0</v>
      </c>
      <c r="I12" s="73">
        <v>1.0</v>
      </c>
      <c r="J12" s="74"/>
      <c r="K12" s="75">
        <v>0.1</v>
      </c>
      <c r="L12" s="76">
        <v>0.0</v>
      </c>
      <c r="M12" s="79"/>
      <c r="N12" s="82"/>
      <c r="O12" s="85"/>
    </row>
    <row r="13">
      <c r="A13" s="55" t="s">
        <v>34</v>
      </c>
      <c r="B13" s="56"/>
      <c r="C13" s="58" t="s">
        <v>66</v>
      </c>
      <c r="D13" s="60">
        <v>1.0</v>
      </c>
      <c r="E13" s="66">
        <f t="shared" si="1"/>
        <v>1</v>
      </c>
      <c r="F13" s="68">
        <f t="shared" si="2"/>
        <v>1</v>
      </c>
      <c r="G13" s="68">
        <f t="shared" si="3"/>
        <v>0</v>
      </c>
      <c r="H13" s="72">
        <f t="shared" si="4"/>
        <v>0</v>
      </c>
      <c r="I13" s="73">
        <v>1.0</v>
      </c>
      <c r="J13" s="74"/>
      <c r="K13" s="75">
        <v>0.1</v>
      </c>
      <c r="L13" s="76">
        <v>0.0</v>
      </c>
      <c r="M13" s="79"/>
      <c r="N13" s="82"/>
      <c r="O13" s="85"/>
    </row>
    <row r="14">
      <c r="A14" s="55" t="s">
        <v>34</v>
      </c>
      <c r="B14" s="56"/>
      <c r="C14" s="58" t="s">
        <v>70</v>
      </c>
      <c r="D14" s="60">
        <v>1.0</v>
      </c>
      <c r="E14" s="66">
        <f t="shared" si="1"/>
        <v>1</v>
      </c>
      <c r="F14" s="68">
        <f t="shared" si="2"/>
        <v>1</v>
      </c>
      <c r="G14" s="68">
        <f t="shared" si="3"/>
        <v>0</v>
      </c>
      <c r="H14" s="72">
        <f t="shared" si="4"/>
        <v>0</v>
      </c>
      <c r="I14" s="73">
        <v>1.0</v>
      </c>
      <c r="J14" s="74"/>
      <c r="K14" s="75">
        <v>0.1</v>
      </c>
      <c r="L14" s="76">
        <v>0.0</v>
      </c>
      <c r="M14" s="79"/>
      <c r="N14" s="82"/>
      <c r="O14" s="85"/>
    </row>
    <row r="15" hidden="1" outlineLevel="1">
      <c r="A15" s="55" t="s">
        <v>34</v>
      </c>
      <c r="B15" s="56"/>
      <c r="C15" s="58" t="s">
        <v>71</v>
      </c>
      <c r="D15" s="60">
        <v>9.0</v>
      </c>
      <c r="E15" s="66">
        <f t="shared" si="1"/>
        <v>1</v>
      </c>
      <c r="F15" s="68">
        <f t="shared" si="2"/>
        <v>9</v>
      </c>
      <c r="G15" s="68">
        <f t="shared" si="3"/>
        <v>0</v>
      </c>
      <c r="H15" s="72">
        <f t="shared" si="4"/>
        <v>0</v>
      </c>
      <c r="I15" s="73">
        <v>1.0</v>
      </c>
      <c r="J15" s="74"/>
      <c r="K15" s="75">
        <v>0.1</v>
      </c>
      <c r="L15" s="76">
        <v>0.0</v>
      </c>
      <c r="M15" s="79"/>
      <c r="N15" s="82"/>
      <c r="O15" s="85"/>
    </row>
    <row r="16" collapsed="1">
      <c r="A16" s="55" t="s">
        <v>34</v>
      </c>
      <c r="B16" s="56"/>
      <c r="C16" s="58" t="s">
        <v>75</v>
      </c>
      <c r="D16" s="60">
        <v>1.0</v>
      </c>
      <c r="E16" s="66">
        <f t="shared" si="1"/>
        <v>1</v>
      </c>
      <c r="F16" s="68">
        <f t="shared" si="2"/>
        <v>1</v>
      </c>
      <c r="G16" s="68">
        <f t="shared" si="3"/>
        <v>0</v>
      </c>
      <c r="H16" s="72">
        <f t="shared" si="4"/>
        <v>0</v>
      </c>
      <c r="I16" s="73">
        <v>1.0</v>
      </c>
      <c r="J16" s="74"/>
      <c r="K16" s="75">
        <v>0.1</v>
      </c>
      <c r="L16" s="76">
        <v>0.0</v>
      </c>
      <c r="M16" s="79"/>
      <c r="N16" s="82"/>
      <c r="O16" s="85"/>
    </row>
    <row r="17">
      <c r="A17" s="55" t="s">
        <v>34</v>
      </c>
      <c r="B17" s="56"/>
      <c r="C17" s="58" t="s">
        <v>79</v>
      </c>
      <c r="D17" s="60">
        <v>1.0</v>
      </c>
      <c r="E17" s="66">
        <f t="shared" si="1"/>
        <v>1</v>
      </c>
      <c r="F17" s="68">
        <f t="shared" si="2"/>
        <v>1</v>
      </c>
      <c r="G17" s="68">
        <f t="shared" si="3"/>
        <v>0</v>
      </c>
      <c r="H17" s="72">
        <f t="shared" si="4"/>
        <v>0</v>
      </c>
      <c r="I17" s="73">
        <v>1.0</v>
      </c>
      <c r="J17" s="74"/>
      <c r="K17" s="75">
        <v>0.1</v>
      </c>
      <c r="L17" s="76">
        <v>0.0</v>
      </c>
      <c r="M17" s="79"/>
      <c r="N17" s="82"/>
      <c r="O17" s="85"/>
    </row>
    <row r="18">
      <c r="A18" s="55" t="s">
        <v>34</v>
      </c>
      <c r="B18" s="56"/>
      <c r="C18" s="58" t="s">
        <v>81</v>
      </c>
      <c r="D18" s="60">
        <v>1.0</v>
      </c>
      <c r="E18" s="66">
        <f t="shared" si="1"/>
        <v>1</v>
      </c>
      <c r="F18" s="68">
        <f t="shared" si="2"/>
        <v>1</v>
      </c>
      <c r="G18" s="68">
        <f t="shared" si="3"/>
        <v>0</v>
      </c>
      <c r="H18" s="72">
        <f t="shared" si="4"/>
        <v>0</v>
      </c>
      <c r="I18" s="73">
        <v>1.0</v>
      </c>
      <c r="J18" s="74"/>
      <c r="K18" s="75">
        <v>0.1</v>
      </c>
      <c r="L18" s="76">
        <v>0.0</v>
      </c>
      <c r="M18" s="79"/>
      <c r="N18" s="82"/>
      <c r="O18" s="85"/>
    </row>
    <row r="19">
      <c r="A19" s="55" t="s">
        <v>34</v>
      </c>
      <c r="B19" s="56"/>
      <c r="C19" s="58" t="s">
        <v>83</v>
      </c>
      <c r="D19" s="60">
        <v>1.0</v>
      </c>
      <c r="E19" s="66">
        <f t="shared" si="1"/>
        <v>-14.169</v>
      </c>
      <c r="F19" s="68">
        <f t="shared" si="2"/>
        <v>-14.169</v>
      </c>
      <c r="G19" s="68">
        <f t="shared" si="3"/>
        <v>15.169</v>
      </c>
      <c r="H19" s="72">
        <v>13.79</v>
      </c>
      <c r="I19" s="73">
        <v>1.0</v>
      </c>
      <c r="J19" s="74"/>
      <c r="K19" s="75">
        <v>0.1</v>
      </c>
      <c r="L19" s="76">
        <v>0.0</v>
      </c>
      <c r="M19" s="79" t="s">
        <v>86</v>
      </c>
      <c r="N19" s="82"/>
      <c r="O19" s="85"/>
    </row>
    <row r="20">
      <c r="A20" s="55" t="s">
        <v>34</v>
      </c>
      <c r="B20" s="56"/>
      <c r="C20" s="58" t="s">
        <v>90</v>
      </c>
      <c r="D20" s="60">
        <v>1.0</v>
      </c>
      <c r="E20" s="66">
        <f t="shared" si="1"/>
        <v>1</v>
      </c>
      <c r="F20" s="68">
        <f t="shared" si="2"/>
        <v>1</v>
      </c>
      <c r="G20" s="68">
        <f t="shared" si="3"/>
        <v>0</v>
      </c>
      <c r="H20" s="72">
        <f t="shared" ref="H20:H23" si="5">J20/I20</f>
        <v>0</v>
      </c>
      <c r="I20" s="73">
        <v>1.0</v>
      </c>
      <c r="J20" s="74"/>
      <c r="K20" s="75">
        <v>0.1</v>
      </c>
      <c r="L20" s="76">
        <v>0.0</v>
      </c>
      <c r="M20" s="79"/>
      <c r="N20" s="82"/>
      <c r="O20" s="85"/>
    </row>
    <row r="21">
      <c r="A21" s="55" t="s">
        <v>34</v>
      </c>
      <c r="B21" s="56"/>
      <c r="C21" s="58" t="s">
        <v>94</v>
      </c>
      <c r="D21" s="60">
        <v>1.0</v>
      </c>
      <c r="E21" s="66">
        <f t="shared" si="1"/>
        <v>1</v>
      </c>
      <c r="F21" s="68">
        <f t="shared" si="2"/>
        <v>1</v>
      </c>
      <c r="G21" s="68">
        <f t="shared" si="3"/>
        <v>0</v>
      </c>
      <c r="H21" s="72">
        <f t="shared" si="5"/>
        <v>0</v>
      </c>
      <c r="I21" s="73">
        <v>1.0</v>
      </c>
      <c r="J21" s="74"/>
      <c r="K21" s="75">
        <v>0.1</v>
      </c>
      <c r="L21" s="76">
        <v>0.0</v>
      </c>
      <c r="M21" s="79"/>
      <c r="N21" s="82"/>
      <c r="O21" s="85"/>
    </row>
    <row r="22">
      <c r="A22" s="55" t="s">
        <v>34</v>
      </c>
      <c r="B22" s="56"/>
      <c r="C22" s="58" t="s">
        <v>96</v>
      </c>
      <c r="D22" s="60">
        <v>1.0</v>
      </c>
      <c r="E22" s="66">
        <f t="shared" si="1"/>
        <v>1</v>
      </c>
      <c r="F22" s="68">
        <f t="shared" si="2"/>
        <v>1</v>
      </c>
      <c r="G22" s="68">
        <f t="shared" si="3"/>
        <v>0</v>
      </c>
      <c r="H22" s="72">
        <f t="shared" si="5"/>
        <v>0</v>
      </c>
      <c r="I22" s="73">
        <v>1.0</v>
      </c>
      <c r="J22" s="74"/>
      <c r="K22" s="75">
        <v>0.1</v>
      </c>
      <c r="L22" s="76">
        <v>0.0</v>
      </c>
      <c r="M22" s="79"/>
      <c r="N22" s="82"/>
      <c r="O22" s="85"/>
    </row>
    <row r="23">
      <c r="A23" s="55" t="s">
        <v>34</v>
      </c>
      <c r="B23" s="56"/>
      <c r="C23" s="58" t="s">
        <v>100</v>
      </c>
      <c r="D23" s="60">
        <v>1.0</v>
      </c>
      <c r="E23" s="66">
        <f t="shared" si="1"/>
        <v>1</v>
      </c>
      <c r="F23" s="68">
        <f t="shared" si="2"/>
        <v>1</v>
      </c>
      <c r="G23" s="68">
        <f t="shared" si="3"/>
        <v>0</v>
      </c>
      <c r="H23" s="72">
        <f t="shared" si="5"/>
        <v>0</v>
      </c>
      <c r="I23" s="73">
        <v>1.0</v>
      </c>
      <c r="J23" s="74"/>
      <c r="K23" s="75">
        <v>0.1</v>
      </c>
      <c r="L23" s="76">
        <v>0.0</v>
      </c>
      <c r="M23" s="79"/>
      <c r="N23" s="82"/>
      <c r="O23" s="85"/>
    </row>
    <row r="24">
      <c r="A24" s="55" t="s">
        <v>34</v>
      </c>
      <c r="B24" s="56"/>
      <c r="C24" s="58" t="s">
        <v>106</v>
      </c>
      <c r="D24" s="60">
        <v>1.0</v>
      </c>
      <c r="E24" s="66">
        <f t="shared" si="1"/>
        <v>-4.28</v>
      </c>
      <c r="F24" s="68">
        <f t="shared" si="2"/>
        <v>-4.28</v>
      </c>
      <c r="G24" s="68">
        <f t="shared" si="3"/>
        <v>5.28</v>
      </c>
      <c r="H24" s="72">
        <v>4.8</v>
      </c>
      <c r="I24" s="73">
        <v>1.0</v>
      </c>
      <c r="J24" s="74"/>
      <c r="K24" s="75">
        <v>0.1</v>
      </c>
      <c r="L24" s="76">
        <v>0.0</v>
      </c>
      <c r="M24" s="79" t="s">
        <v>108</v>
      </c>
      <c r="N24" s="82"/>
      <c r="O24" s="85"/>
    </row>
    <row r="25">
      <c r="A25" s="55" t="s">
        <v>34</v>
      </c>
      <c r="B25" s="56"/>
      <c r="C25" s="58" t="s">
        <v>106</v>
      </c>
      <c r="D25" s="60">
        <v>1.0</v>
      </c>
      <c r="E25" s="66">
        <f t="shared" si="1"/>
        <v>-4.72</v>
      </c>
      <c r="F25" s="68">
        <f t="shared" si="2"/>
        <v>-4.72</v>
      </c>
      <c r="G25" s="68">
        <f t="shared" si="3"/>
        <v>5.72</v>
      </c>
      <c r="H25" s="72">
        <v>5.2</v>
      </c>
      <c r="I25" s="73">
        <v>1.0</v>
      </c>
      <c r="J25" s="74"/>
      <c r="K25" s="75">
        <v>0.1</v>
      </c>
      <c r="L25" s="76">
        <v>0.0</v>
      </c>
      <c r="M25" s="79" t="s">
        <v>112</v>
      </c>
      <c r="N25" s="82"/>
      <c r="O25" s="85"/>
    </row>
    <row r="26">
      <c r="A26" s="55" t="s">
        <v>34</v>
      </c>
      <c r="B26" s="56"/>
      <c r="C26" s="58" t="s">
        <v>115</v>
      </c>
      <c r="D26" s="60">
        <v>1.0</v>
      </c>
      <c r="E26" s="66">
        <f t="shared" si="1"/>
        <v>1</v>
      </c>
      <c r="F26" s="68">
        <f t="shared" si="2"/>
        <v>1</v>
      </c>
      <c r="G26" s="68">
        <f t="shared" si="3"/>
        <v>0</v>
      </c>
      <c r="H26" s="72">
        <f t="shared" ref="H26:H28" si="6">J26/I26</f>
        <v>0</v>
      </c>
      <c r="I26" s="73">
        <v>1.0</v>
      </c>
      <c r="J26" s="74"/>
      <c r="K26" s="75">
        <v>0.1</v>
      </c>
      <c r="L26" s="76">
        <v>0.0</v>
      </c>
      <c r="M26" s="79"/>
      <c r="N26" s="82"/>
      <c r="O26" s="85"/>
    </row>
    <row r="27">
      <c r="A27" s="55" t="s">
        <v>34</v>
      </c>
      <c r="B27" s="56"/>
      <c r="C27" s="58" t="s">
        <v>120</v>
      </c>
      <c r="D27" s="60">
        <v>1.0</v>
      </c>
      <c r="E27" s="66">
        <f t="shared" si="1"/>
        <v>1</v>
      </c>
      <c r="F27" s="68">
        <f t="shared" si="2"/>
        <v>1</v>
      </c>
      <c r="G27" s="68">
        <f t="shared" si="3"/>
        <v>0</v>
      </c>
      <c r="H27" s="72">
        <f t="shared" si="6"/>
        <v>0</v>
      </c>
      <c r="I27" s="73">
        <v>1.0</v>
      </c>
      <c r="J27" s="74"/>
      <c r="K27" s="75">
        <v>0.1</v>
      </c>
      <c r="L27" s="76">
        <v>0.0</v>
      </c>
      <c r="M27" s="79"/>
      <c r="N27" s="82"/>
      <c r="O27" s="85"/>
    </row>
    <row r="28">
      <c r="A28" s="55" t="s">
        <v>34</v>
      </c>
      <c r="B28" s="56"/>
      <c r="C28" s="58" t="s">
        <v>125</v>
      </c>
      <c r="D28" s="60">
        <v>1.0</v>
      </c>
      <c r="E28" s="66">
        <f t="shared" si="1"/>
        <v>1</v>
      </c>
      <c r="F28" s="68">
        <f t="shared" si="2"/>
        <v>1</v>
      </c>
      <c r="G28" s="68">
        <f t="shared" si="3"/>
        <v>0</v>
      </c>
      <c r="H28" s="72">
        <f t="shared" si="6"/>
        <v>0</v>
      </c>
      <c r="I28" s="73">
        <v>1.0</v>
      </c>
      <c r="J28" s="74"/>
      <c r="K28" s="75">
        <v>0.1</v>
      </c>
      <c r="L28" s="76">
        <v>0.0</v>
      </c>
      <c r="M28" s="79"/>
      <c r="N28" s="82"/>
      <c r="O28" s="85"/>
    </row>
    <row r="29">
      <c r="A29" s="55" t="s">
        <v>34</v>
      </c>
      <c r="B29" s="56"/>
      <c r="C29" s="58" t="s">
        <v>127</v>
      </c>
      <c r="D29" s="60">
        <v>1.0</v>
      </c>
      <c r="E29" s="66">
        <f t="shared" si="1"/>
        <v>-2.3</v>
      </c>
      <c r="F29" s="68">
        <f t="shared" si="2"/>
        <v>-2.3</v>
      </c>
      <c r="G29" s="68">
        <f t="shared" si="3"/>
        <v>3.3</v>
      </c>
      <c r="H29" s="72">
        <v>3.0</v>
      </c>
      <c r="I29" s="73">
        <v>1.0</v>
      </c>
      <c r="J29" s="74"/>
      <c r="K29" s="75">
        <v>0.1</v>
      </c>
      <c r="L29" s="76">
        <v>0.0</v>
      </c>
      <c r="M29" s="79"/>
      <c r="N29" s="82"/>
      <c r="O29" s="85"/>
    </row>
    <row r="30">
      <c r="A30" s="57" t="s">
        <v>34</v>
      </c>
      <c r="B30" s="56"/>
      <c r="C30" s="114" t="s">
        <v>132</v>
      </c>
      <c r="D30" s="116">
        <v>1.0</v>
      </c>
      <c r="E30" s="69">
        <f t="shared" si="1"/>
        <v>1</v>
      </c>
      <c r="F30" s="117">
        <f t="shared" si="2"/>
        <v>1</v>
      </c>
      <c r="G30" s="117">
        <f t="shared" si="3"/>
        <v>0</v>
      </c>
      <c r="H30" s="118">
        <f>J30/I30</f>
        <v>0</v>
      </c>
      <c r="I30" s="119">
        <v>1.0</v>
      </c>
      <c r="J30" s="108"/>
      <c r="K30" s="120">
        <v>0.1</v>
      </c>
      <c r="L30" s="157">
        <v>0.0</v>
      </c>
      <c r="M30" s="122"/>
      <c r="N30" s="123"/>
      <c r="O30" s="125"/>
    </row>
    <row r="31">
      <c r="A31" s="55" t="s">
        <v>140</v>
      </c>
      <c r="B31" s="56"/>
      <c r="C31" s="58" t="s">
        <v>69</v>
      </c>
      <c r="D31" s="60">
        <v>1.0</v>
      </c>
      <c r="E31" s="66">
        <f t="shared" si="1"/>
        <v>-25.455</v>
      </c>
      <c r="F31" s="68">
        <f t="shared" si="2"/>
        <v>-25.455</v>
      </c>
      <c r="G31" s="68">
        <f t="shared" si="3"/>
        <v>26.455</v>
      </c>
      <c r="H31" s="72">
        <v>24.05</v>
      </c>
      <c r="I31" s="73">
        <v>1.0</v>
      </c>
      <c r="J31" s="74"/>
      <c r="K31" s="75">
        <v>0.1</v>
      </c>
      <c r="L31" s="76">
        <v>0.0</v>
      </c>
      <c r="M31" s="79" t="s">
        <v>86</v>
      </c>
      <c r="N31" s="82"/>
      <c r="O31" s="85" t="s">
        <v>142</v>
      </c>
    </row>
    <row r="32">
      <c r="A32" s="55" t="s">
        <v>140</v>
      </c>
      <c r="B32" s="56"/>
      <c r="C32" s="158" t="s">
        <v>143</v>
      </c>
      <c r="D32" s="60">
        <v>1.0</v>
      </c>
      <c r="E32" s="66">
        <f t="shared" si="1"/>
        <v>1</v>
      </c>
      <c r="F32" s="68">
        <f t="shared" si="2"/>
        <v>1</v>
      </c>
      <c r="G32" s="68">
        <f t="shared" si="3"/>
        <v>0</v>
      </c>
      <c r="H32" s="72">
        <f>J32/I32</f>
        <v>0</v>
      </c>
      <c r="I32" s="73">
        <v>1.0</v>
      </c>
      <c r="J32" s="74"/>
      <c r="K32" s="75">
        <v>0.1</v>
      </c>
      <c r="L32" s="76">
        <v>0.0</v>
      </c>
      <c r="M32" s="79"/>
      <c r="N32" s="82"/>
      <c r="O32" s="85"/>
    </row>
    <row r="33">
      <c r="A33" s="55" t="s">
        <v>140</v>
      </c>
      <c r="B33" s="56"/>
      <c r="C33" s="158" t="s">
        <v>149</v>
      </c>
      <c r="D33" s="60">
        <v>1.0</v>
      </c>
      <c r="E33" s="66">
        <f t="shared" si="1"/>
        <v>-13.3149</v>
      </c>
      <c r="F33" s="68">
        <f t="shared" si="2"/>
        <v>-13.3149</v>
      </c>
      <c r="G33" s="68">
        <f t="shared" si="3"/>
        <v>14.3149</v>
      </c>
      <c r="H33" s="72">
        <v>12.85</v>
      </c>
      <c r="I33" s="73">
        <v>1.0</v>
      </c>
      <c r="J33" s="74"/>
      <c r="K33" s="75">
        <v>0.1</v>
      </c>
      <c r="L33" s="127">
        <v>0.014</v>
      </c>
      <c r="M33" s="79" t="s">
        <v>152</v>
      </c>
      <c r="N33" s="82"/>
      <c r="O33" s="85"/>
    </row>
    <row r="34" hidden="1" outlineLevel="1">
      <c r="A34" s="55" t="s">
        <v>140</v>
      </c>
      <c r="B34" s="56"/>
      <c r="C34" s="64" t="s">
        <v>154</v>
      </c>
      <c r="D34" s="67">
        <v>3.5</v>
      </c>
      <c r="E34" s="66">
        <f t="shared" si="1"/>
        <v>1</v>
      </c>
      <c r="F34" s="70">
        <f t="shared" si="2"/>
        <v>3.5</v>
      </c>
      <c r="G34" s="70">
        <f t="shared" si="3"/>
        <v>0</v>
      </c>
      <c r="H34" s="77">
        <f t="shared" ref="H34:H44" si="7">J34/I34</f>
        <v>0</v>
      </c>
      <c r="I34" s="78">
        <v>1.0</v>
      </c>
      <c r="J34" s="80"/>
      <c r="K34" s="84">
        <v>0.1</v>
      </c>
      <c r="L34" s="163">
        <v>0.0</v>
      </c>
      <c r="M34" s="88"/>
      <c r="N34" s="90"/>
      <c r="O34" s="91"/>
    </row>
    <row r="35" collapsed="1">
      <c r="A35" s="55" t="s">
        <v>140</v>
      </c>
      <c r="B35" s="56"/>
      <c r="C35" s="64" t="s">
        <v>160</v>
      </c>
      <c r="D35" s="67">
        <v>1.0</v>
      </c>
      <c r="E35" s="66">
        <f t="shared" si="1"/>
        <v>1</v>
      </c>
      <c r="F35" s="68">
        <f t="shared" si="2"/>
        <v>1</v>
      </c>
      <c r="G35" s="68">
        <f t="shared" si="3"/>
        <v>0</v>
      </c>
      <c r="H35" s="72">
        <f t="shared" si="7"/>
        <v>0</v>
      </c>
      <c r="I35" s="73">
        <v>1.0</v>
      </c>
      <c r="J35" s="74"/>
      <c r="K35" s="75">
        <v>0.1</v>
      </c>
      <c r="L35" s="76">
        <v>0.0</v>
      </c>
      <c r="M35" s="79"/>
      <c r="N35" s="82"/>
      <c r="O35" s="85"/>
    </row>
    <row r="36">
      <c r="A36" s="55" t="s">
        <v>140</v>
      </c>
      <c r="B36" s="56"/>
      <c r="C36" s="158" t="s">
        <v>163</v>
      </c>
      <c r="D36" s="60">
        <v>1.0</v>
      </c>
      <c r="E36" s="66">
        <f t="shared" si="1"/>
        <v>1</v>
      </c>
      <c r="F36" s="68">
        <f t="shared" si="2"/>
        <v>1</v>
      </c>
      <c r="G36" s="68">
        <f t="shared" si="3"/>
        <v>0</v>
      </c>
      <c r="H36" s="72">
        <f t="shared" si="7"/>
        <v>0</v>
      </c>
      <c r="I36" s="73">
        <v>1.0</v>
      </c>
      <c r="J36" s="74"/>
      <c r="K36" s="75">
        <v>0.1</v>
      </c>
      <c r="L36" s="76">
        <v>0.0</v>
      </c>
      <c r="M36" s="79"/>
      <c r="N36" s="82"/>
      <c r="O36" s="85"/>
    </row>
    <row r="37">
      <c r="A37" s="55" t="s">
        <v>140</v>
      </c>
      <c r="B37" s="56"/>
      <c r="C37" s="58" t="s">
        <v>166</v>
      </c>
      <c r="D37" s="60">
        <v>1.0</v>
      </c>
      <c r="E37" s="66">
        <f t="shared" si="1"/>
        <v>1</v>
      </c>
      <c r="F37" s="68">
        <f t="shared" si="2"/>
        <v>1</v>
      </c>
      <c r="G37" s="68">
        <f t="shared" si="3"/>
        <v>0</v>
      </c>
      <c r="H37" s="72">
        <f t="shared" si="7"/>
        <v>0</v>
      </c>
      <c r="I37" s="73">
        <v>1.0</v>
      </c>
      <c r="J37" s="74"/>
      <c r="K37" s="75">
        <v>0.1</v>
      </c>
      <c r="L37" s="76">
        <v>0.0</v>
      </c>
      <c r="M37" s="79"/>
      <c r="N37" s="82"/>
      <c r="O37" s="85"/>
    </row>
    <row r="38">
      <c r="A38" s="55" t="s">
        <v>140</v>
      </c>
      <c r="B38" s="56"/>
      <c r="C38" s="158" t="s">
        <v>170</v>
      </c>
      <c r="D38" s="60">
        <v>1.0</v>
      </c>
      <c r="E38" s="66">
        <f t="shared" si="1"/>
        <v>1</v>
      </c>
      <c r="F38" s="68">
        <f t="shared" si="2"/>
        <v>1</v>
      </c>
      <c r="G38" s="68">
        <f t="shared" si="3"/>
        <v>0</v>
      </c>
      <c r="H38" s="72">
        <f t="shared" si="7"/>
        <v>0</v>
      </c>
      <c r="I38" s="73">
        <v>1.0</v>
      </c>
      <c r="J38" s="74"/>
      <c r="K38" s="75">
        <v>0.1</v>
      </c>
      <c r="L38" s="76">
        <v>0.0</v>
      </c>
      <c r="M38" s="79"/>
      <c r="N38" s="82"/>
      <c r="O38" s="85"/>
    </row>
    <row r="39">
      <c r="A39" s="55" t="s">
        <v>140</v>
      </c>
      <c r="B39" s="56"/>
      <c r="C39" s="158" t="s">
        <v>174</v>
      </c>
      <c r="D39" s="60">
        <v>1.0</v>
      </c>
      <c r="E39" s="66">
        <f t="shared" si="1"/>
        <v>1</v>
      </c>
      <c r="F39" s="68">
        <f t="shared" si="2"/>
        <v>1</v>
      </c>
      <c r="G39" s="68">
        <f t="shared" si="3"/>
        <v>0</v>
      </c>
      <c r="H39" s="72">
        <f t="shared" si="7"/>
        <v>0</v>
      </c>
      <c r="I39" s="73">
        <v>1.0</v>
      </c>
      <c r="J39" s="74"/>
      <c r="K39" s="75">
        <v>0.1</v>
      </c>
      <c r="L39" s="76">
        <v>0.0</v>
      </c>
      <c r="M39" s="79"/>
      <c r="N39" s="82"/>
      <c r="O39" s="85"/>
    </row>
    <row r="40">
      <c r="A40" s="55" t="s">
        <v>140</v>
      </c>
      <c r="B40" s="56"/>
      <c r="C40" s="58" t="s">
        <v>177</v>
      </c>
      <c r="D40" s="60">
        <v>1.0</v>
      </c>
      <c r="E40" s="66">
        <f t="shared" si="1"/>
        <v>1</v>
      </c>
      <c r="F40" s="68">
        <f t="shared" si="2"/>
        <v>1</v>
      </c>
      <c r="G40" s="68">
        <f t="shared" si="3"/>
        <v>0</v>
      </c>
      <c r="H40" s="72">
        <f t="shared" si="7"/>
        <v>0</v>
      </c>
      <c r="I40" s="73">
        <v>1.0</v>
      </c>
      <c r="J40" s="74"/>
      <c r="K40" s="75">
        <v>0.1</v>
      </c>
      <c r="L40" s="76">
        <v>0.0</v>
      </c>
      <c r="M40" s="79"/>
      <c r="N40" s="82"/>
      <c r="O40" s="85"/>
    </row>
    <row r="41">
      <c r="A41" s="55" t="s">
        <v>140</v>
      </c>
      <c r="B41" s="56"/>
      <c r="C41" s="158" t="s">
        <v>183</v>
      </c>
      <c r="D41" s="60">
        <v>1.0</v>
      </c>
      <c r="E41" s="66">
        <f t="shared" si="1"/>
        <v>1</v>
      </c>
      <c r="F41" s="68">
        <f t="shared" si="2"/>
        <v>1</v>
      </c>
      <c r="G41" s="68">
        <f t="shared" si="3"/>
        <v>0</v>
      </c>
      <c r="H41" s="72">
        <f t="shared" si="7"/>
        <v>0</v>
      </c>
      <c r="I41" s="73">
        <v>1.0</v>
      </c>
      <c r="J41" s="74"/>
      <c r="K41" s="75">
        <v>0.1</v>
      </c>
      <c r="L41" s="76">
        <v>0.0</v>
      </c>
      <c r="M41" s="79"/>
      <c r="N41" s="82"/>
      <c r="O41" s="85"/>
    </row>
    <row r="42">
      <c r="A42" s="55" t="s">
        <v>140</v>
      </c>
      <c r="B42" s="56"/>
      <c r="C42" s="159"/>
      <c r="D42" s="60">
        <v>1.0</v>
      </c>
      <c r="E42" s="66">
        <f t="shared" si="1"/>
        <v>1</v>
      </c>
      <c r="F42" s="68">
        <f t="shared" si="2"/>
        <v>1</v>
      </c>
      <c r="G42" s="68">
        <f t="shared" si="3"/>
        <v>0</v>
      </c>
      <c r="H42" s="72">
        <f t="shared" si="7"/>
        <v>0</v>
      </c>
      <c r="I42" s="73">
        <v>1.0</v>
      </c>
      <c r="J42" s="74"/>
      <c r="K42" s="75">
        <v>0.1</v>
      </c>
      <c r="L42" s="76">
        <v>0.0</v>
      </c>
      <c r="M42" s="79"/>
      <c r="N42" s="82"/>
      <c r="O42" s="85"/>
    </row>
    <row r="43">
      <c r="A43" s="55" t="s">
        <v>140</v>
      </c>
      <c r="B43" s="56" t="s">
        <v>193</v>
      </c>
      <c r="C43" s="58" t="s">
        <v>194</v>
      </c>
      <c r="D43" s="60">
        <v>1.0</v>
      </c>
      <c r="E43" s="66">
        <f t="shared" si="1"/>
        <v>1</v>
      </c>
      <c r="F43" s="68">
        <f t="shared" si="2"/>
        <v>1</v>
      </c>
      <c r="G43" s="68">
        <f t="shared" si="3"/>
        <v>0</v>
      </c>
      <c r="H43" s="72">
        <f t="shared" si="7"/>
        <v>0</v>
      </c>
      <c r="I43" s="73">
        <v>1.0</v>
      </c>
      <c r="J43" s="74"/>
      <c r="K43" s="75">
        <v>0.1</v>
      </c>
      <c r="L43" s="76">
        <v>0.0</v>
      </c>
      <c r="M43" s="79"/>
      <c r="N43" s="82"/>
      <c r="O43" s="85"/>
    </row>
    <row r="44">
      <c r="A44" s="55" t="s">
        <v>140</v>
      </c>
      <c r="B44" s="56"/>
      <c r="C44" s="158" t="s">
        <v>198</v>
      </c>
      <c r="D44" s="60">
        <v>1.0</v>
      </c>
      <c r="E44" s="66">
        <f t="shared" si="1"/>
        <v>1</v>
      </c>
      <c r="F44" s="68">
        <f t="shared" si="2"/>
        <v>1</v>
      </c>
      <c r="G44" s="68">
        <f t="shared" si="3"/>
        <v>0</v>
      </c>
      <c r="H44" s="72">
        <f t="shared" si="7"/>
        <v>0</v>
      </c>
      <c r="I44" s="73">
        <v>1.0</v>
      </c>
      <c r="J44" s="74"/>
      <c r="K44" s="75">
        <v>0.1</v>
      </c>
      <c r="L44" s="76">
        <v>0.0</v>
      </c>
      <c r="M44" s="79"/>
      <c r="N44" s="82"/>
      <c r="O44" s="85"/>
    </row>
    <row r="45">
      <c r="A45" s="55" t="s">
        <v>140</v>
      </c>
      <c r="B45" s="56"/>
      <c r="C45" s="158" t="s">
        <v>202</v>
      </c>
      <c r="D45" s="60">
        <v>1.0</v>
      </c>
      <c r="E45" s="66">
        <f t="shared" si="1"/>
        <v>-11.65</v>
      </c>
      <c r="F45" s="68">
        <f t="shared" si="2"/>
        <v>-11.65</v>
      </c>
      <c r="G45" s="68">
        <f t="shared" si="3"/>
        <v>12.65</v>
      </c>
      <c r="H45" s="72">
        <v>11.5</v>
      </c>
      <c r="I45" s="73">
        <v>1.0</v>
      </c>
      <c r="J45" s="74"/>
      <c r="K45" s="75">
        <v>0.1</v>
      </c>
      <c r="L45" s="76">
        <v>0.0</v>
      </c>
      <c r="M45" s="79" t="s">
        <v>86</v>
      </c>
      <c r="N45" s="82"/>
      <c r="O45" s="85"/>
    </row>
    <row r="46">
      <c r="A46" s="55" t="s">
        <v>140</v>
      </c>
      <c r="B46" s="56"/>
      <c r="C46" s="58" t="s">
        <v>207</v>
      </c>
      <c r="D46" s="60">
        <v>1.0</v>
      </c>
      <c r="E46" s="66">
        <f t="shared" si="1"/>
        <v>1</v>
      </c>
      <c r="F46" s="68">
        <f t="shared" si="2"/>
        <v>1</v>
      </c>
      <c r="G46" s="68">
        <f t="shared" si="3"/>
        <v>0</v>
      </c>
      <c r="H46" s="72">
        <f t="shared" ref="H46:H47" si="8">J46/I46</f>
        <v>0</v>
      </c>
      <c r="I46" s="73">
        <v>1.0</v>
      </c>
      <c r="J46" s="74"/>
      <c r="K46" s="75">
        <v>0.1</v>
      </c>
      <c r="L46" s="76">
        <v>0.0</v>
      </c>
      <c r="M46" s="79"/>
      <c r="N46" s="82"/>
      <c r="O46" s="85"/>
    </row>
    <row r="47">
      <c r="A47" s="55" t="s">
        <v>140</v>
      </c>
      <c r="B47" s="56"/>
      <c r="C47" s="58"/>
      <c r="D47" s="60">
        <v>1.0</v>
      </c>
      <c r="E47" s="66">
        <f t="shared" si="1"/>
        <v>1</v>
      </c>
      <c r="F47" s="68">
        <f t="shared" si="2"/>
        <v>1</v>
      </c>
      <c r="G47" s="68">
        <f t="shared" si="3"/>
        <v>0</v>
      </c>
      <c r="H47" s="72">
        <f t="shared" si="8"/>
        <v>0</v>
      </c>
      <c r="I47" s="73">
        <v>1.0</v>
      </c>
      <c r="J47" s="74"/>
      <c r="K47" s="75">
        <v>0.1</v>
      </c>
      <c r="L47" s="76">
        <v>0.0</v>
      </c>
      <c r="M47" s="79"/>
      <c r="N47" s="82"/>
      <c r="O47" s="85"/>
    </row>
    <row r="48">
      <c r="A48" s="55" t="s">
        <v>140</v>
      </c>
      <c r="B48" s="56" t="s">
        <v>211</v>
      </c>
      <c r="C48" s="158" t="s">
        <v>212</v>
      </c>
      <c r="D48" s="60">
        <v>1.0</v>
      </c>
      <c r="E48" s="66">
        <f t="shared" si="1"/>
        <v>-8.867</v>
      </c>
      <c r="F48" s="68">
        <f t="shared" si="2"/>
        <v>-8.867</v>
      </c>
      <c r="G48" s="68">
        <f t="shared" si="3"/>
        <v>9.867</v>
      </c>
      <c r="H48" s="72">
        <v>8.97</v>
      </c>
      <c r="I48" s="73">
        <v>1.0</v>
      </c>
      <c r="J48" s="74"/>
      <c r="K48" s="75">
        <v>0.1</v>
      </c>
      <c r="L48" s="76">
        <v>0.0</v>
      </c>
      <c r="M48" s="79" t="s">
        <v>86</v>
      </c>
      <c r="N48" s="82"/>
      <c r="O48" s="85"/>
    </row>
    <row r="49">
      <c r="A49" s="55" t="s">
        <v>140</v>
      </c>
      <c r="B49" s="56"/>
      <c r="C49" s="158" t="s">
        <v>215</v>
      </c>
      <c r="D49" s="60">
        <v>1.0</v>
      </c>
      <c r="E49" s="66">
        <f t="shared" si="1"/>
        <v>-9.186</v>
      </c>
      <c r="F49" s="68">
        <f t="shared" si="2"/>
        <v>-9.186</v>
      </c>
      <c r="G49" s="68">
        <f t="shared" si="3"/>
        <v>10.186</v>
      </c>
      <c r="H49" s="72">
        <v>9.26</v>
      </c>
      <c r="I49" s="73">
        <v>1.0</v>
      </c>
      <c r="J49" s="74"/>
      <c r="K49" s="75">
        <v>0.1</v>
      </c>
      <c r="L49" s="76">
        <v>0.0</v>
      </c>
      <c r="M49" s="79" t="s">
        <v>86</v>
      </c>
      <c r="N49" s="82"/>
      <c r="O49" s="85"/>
    </row>
    <row r="50">
      <c r="A50" s="55" t="s">
        <v>140</v>
      </c>
      <c r="B50" s="56"/>
      <c r="C50" s="158" t="s">
        <v>218</v>
      </c>
      <c r="D50" s="60">
        <v>1.0</v>
      </c>
      <c r="E50" s="66">
        <f t="shared" si="1"/>
        <v>-21.396</v>
      </c>
      <c r="F50" s="68">
        <f t="shared" si="2"/>
        <v>-21.396</v>
      </c>
      <c r="G50" s="68">
        <f t="shared" si="3"/>
        <v>22.396</v>
      </c>
      <c r="H50" s="72">
        <v>20.36</v>
      </c>
      <c r="I50" s="73">
        <v>1.0</v>
      </c>
      <c r="J50" s="74"/>
      <c r="K50" s="75">
        <v>0.1</v>
      </c>
      <c r="L50" s="76">
        <v>0.0</v>
      </c>
      <c r="M50" s="79" t="s">
        <v>86</v>
      </c>
      <c r="N50" s="82"/>
      <c r="O50" s="85"/>
    </row>
    <row r="51">
      <c r="A51" s="55" t="s">
        <v>140</v>
      </c>
      <c r="B51" s="56"/>
      <c r="C51" s="158" t="s">
        <v>221</v>
      </c>
      <c r="D51" s="60">
        <v>1.0</v>
      </c>
      <c r="E51" s="66">
        <f t="shared" si="1"/>
        <v>-10.363</v>
      </c>
      <c r="F51" s="68">
        <f t="shared" si="2"/>
        <v>-10.363</v>
      </c>
      <c r="G51" s="68">
        <f t="shared" si="3"/>
        <v>11.363</v>
      </c>
      <c r="H51" s="72">
        <v>10.33</v>
      </c>
      <c r="I51" s="73">
        <v>1.0</v>
      </c>
      <c r="J51" s="74"/>
      <c r="K51" s="75">
        <v>0.1</v>
      </c>
      <c r="L51" s="76">
        <v>0.0</v>
      </c>
      <c r="M51" s="79" t="s">
        <v>86</v>
      </c>
      <c r="N51" s="82"/>
      <c r="O51" s="85"/>
    </row>
    <row r="52">
      <c r="A52" s="55" t="s">
        <v>140</v>
      </c>
      <c r="B52" s="56"/>
      <c r="C52" s="158" t="s">
        <v>226</v>
      </c>
      <c r="D52" s="60">
        <v>1.0</v>
      </c>
      <c r="E52" s="66">
        <f t="shared" si="1"/>
        <v>-9.087</v>
      </c>
      <c r="F52" s="68">
        <f t="shared" si="2"/>
        <v>-9.087</v>
      </c>
      <c r="G52" s="68">
        <f t="shared" si="3"/>
        <v>10.087</v>
      </c>
      <c r="H52" s="72">
        <v>9.17</v>
      </c>
      <c r="I52" s="73">
        <v>1.0</v>
      </c>
      <c r="J52" s="74"/>
      <c r="K52" s="75">
        <v>0.1</v>
      </c>
      <c r="L52" s="76">
        <v>0.0</v>
      </c>
      <c r="M52" s="79" t="s">
        <v>86</v>
      </c>
      <c r="N52" s="82"/>
      <c r="O52" s="85"/>
    </row>
    <row r="53">
      <c r="A53" s="55" t="s">
        <v>140</v>
      </c>
      <c r="B53" s="56"/>
      <c r="C53" s="158"/>
      <c r="D53" s="60">
        <v>1.0</v>
      </c>
      <c r="E53" s="66">
        <f t="shared" si="1"/>
        <v>1</v>
      </c>
      <c r="F53" s="68">
        <f t="shared" si="2"/>
        <v>1</v>
      </c>
      <c r="G53" s="68">
        <f t="shared" si="3"/>
        <v>0</v>
      </c>
      <c r="H53" s="72">
        <f>J53/I53</f>
        <v>0</v>
      </c>
      <c r="I53" s="73">
        <v>1.0</v>
      </c>
      <c r="J53" s="74"/>
      <c r="K53" s="75">
        <v>0.1</v>
      </c>
      <c r="L53" s="76">
        <v>0.0</v>
      </c>
      <c r="M53" s="79"/>
      <c r="N53" s="82"/>
      <c r="O53" s="85"/>
    </row>
    <row r="54">
      <c r="A54" s="55" t="s">
        <v>140</v>
      </c>
      <c r="B54" s="56" t="s">
        <v>231</v>
      </c>
      <c r="C54" s="158" t="s">
        <v>232</v>
      </c>
      <c r="D54" s="60">
        <v>1.0</v>
      </c>
      <c r="E54" s="66">
        <f t="shared" si="1"/>
        <v>-10</v>
      </c>
      <c r="F54" s="68">
        <f t="shared" si="2"/>
        <v>-10</v>
      </c>
      <c r="G54" s="68">
        <f t="shared" si="3"/>
        <v>11</v>
      </c>
      <c r="H54" s="72">
        <v>10.0</v>
      </c>
      <c r="I54" s="73">
        <v>1.0</v>
      </c>
      <c r="J54" s="74"/>
      <c r="K54" s="75">
        <v>0.1</v>
      </c>
      <c r="L54" s="76">
        <v>0.0</v>
      </c>
      <c r="M54" s="79"/>
      <c r="N54" s="82"/>
      <c r="O54" s="85" t="s">
        <v>237</v>
      </c>
    </row>
    <row r="55">
      <c r="A55" s="55" t="s">
        <v>140</v>
      </c>
      <c r="B55" s="56"/>
      <c r="C55" s="158" t="s">
        <v>238</v>
      </c>
      <c r="D55" s="60">
        <v>1.0</v>
      </c>
      <c r="E55" s="66">
        <f t="shared" si="1"/>
        <v>-10</v>
      </c>
      <c r="F55" s="68">
        <f t="shared" si="2"/>
        <v>-10</v>
      </c>
      <c r="G55" s="68">
        <f t="shared" si="3"/>
        <v>11</v>
      </c>
      <c r="H55" s="72">
        <v>10.0</v>
      </c>
      <c r="I55" s="73">
        <v>1.0</v>
      </c>
      <c r="J55" s="74"/>
      <c r="K55" s="75">
        <v>0.1</v>
      </c>
      <c r="L55" s="76">
        <v>0.0</v>
      </c>
      <c r="M55" s="79"/>
      <c r="N55" s="82"/>
      <c r="O55" s="85" t="s">
        <v>243</v>
      </c>
    </row>
    <row r="56">
      <c r="A56" s="55" t="s">
        <v>140</v>
      </c>
      <c r="B56" s="56"/>
      <c r="C56" s="158" t="s">
        <v>244</v>
      </c>
      <c r="D56" s="60">
        <v>1.0</v>
      </c>
      <c r="E56" s="66">
        <f t="shared" si="1"/>
        <v>-5.6</v>
      </c>
      <c r="F56" s="68">
        <f t="shared" si="2"/>
        <v>-5.6</v>
      </c>
      <c r="G56" s="68">
        <f t="shared" si="3"/>
        <v>6.6</v>
      </c>
      <c r="H56" s="72">
        <v>6.0</v>
      </c>
      <c r="I56" s="73">
        <v>1.0</v>
      </c>
      <c r="J56" s="74"/>
      <c r="K56" s="75">
        <v>0.1</v>
      </c>
      <c r="L56" s="76">
        <v>0.0</v>
      </c>
      <c r="M56" s="79"/>
      <c r="N56" s="82"/>
      <c r="O56" s="85" t="s">
        <v>249</v>
      </c>
    </row>
    <row r="57">
      <c r="A57" s="55" t="s">
        <v>140</v>
      </c>
      <c r="B57" s="56"/>
      <c r="C57" s="158" t="s">
        <v>251</v>
      </c>
      <c r="D57" s="60">
        <v>1.0</v>
      </c>
      <c r="E57" s="66">
        <f t="shared" si="1"/>
        <v>-5.6</v>
      </c>
      <c r="F57" s="68">
        <f t="shared" si="2"/>
        <v>-5.6</v>
      </c>
      <c r="G57" s="68">
        <f t="shared" si="3"/>
        <v>6.6</v>
      </c>
      <c r="H57" s="72">
        <v>6.0</v>
      </c>
      <c r="I57" s="73">
        <v>1.0</v>
      </c>
      <c r="J57" s="74"/>
      <c r="K57" s="75">
        <v>0.1</v>
      </c>
      <c r="L57" s="76">
        <v>0.0</v>
      </c>
      <c r="M57" s="79"/>
      <c r="N57" s="82"/>
      <c r="O57" s="85" t="s">
        <v>256</v>
      </c>
    </row>
    <row r="58">
      <c r="A58" s="55" t="s">
        <v>140</v>
      </c>
      <c r="B58" s="56"/>
      <c r="C58" s="158" t="s">
        <v>258</v>
      </c>
      <c r="D58" s="60">
        <v>1.0</v>
      </c>
      <c r="E58" s="66">
        <f t="shared" si="1"/>
        <v>-6.7</v>
      </c>
      <c r="F58" s="68">
        <f t="shared" si="2"/>
        <v>-6.7</v>
      </c>
      <c r="G58" s="68">
        <f t="shared" si="3"/>
        <v>7.7</v>
      </c>
      <c r="H58" s="72">
        <v>7.0</v>
      </c>
      <c r="I58" s="73">
        <v>1.0</v>
      </c>
      <c r="J58" s="74"/>
      <c r="K58" s="75">
        <v>0.1</v>
      </c>
      <c r="L58" s="76">
        <v>0.0</v>
      </c>
      <c r="M58" s="79"/>
      <c r="N58" s="82"/>
      <c r="O58" s="85" t="s">
        <v>263</v>
      </c>
    </row>
    <row r="59">
      <c r="A59" s="55" t="s">
        <v>140</v>
      </c>
      <c r="B59" s="56"/>
      <c r="C59" s="158" t="s">
        <v>264</v>
      </c>
      <c r="D59" s="60">
        <v>1.0</v>
      </c>
      <c r="E59" s="66">
        <f t="shared" si="1"/>
        <v>-0.54</v>
      </c>
      <c r="F59" s="68">
        <f t="shared" si="2"/>
        <v>-0.54</v>
      </c>
      <c r="G59" s="68">
        <f t="shared" si="3"/>
        <v>1.54</v>
      </c>
      <c r="H59" s="72">
        <v>1.4</v>
      </c>
      <c r="I59" s="73">
        <v>1.0</v>
      </c>
      <c r="J59" s="74"/>
      <c r="K59" s="75">
        <v>0.1</v>
      </c>
      <c r="L59" s="76">
        <v>0.0</v>
      </c>
      <c r="M59" s="79"/>
      <c r="N59" s="82"/>
      <c r="O59" s="85"/>
    </row>
    <row r="60">
      <c r="A60" s="55" t="s">
        <v>140</v>
      </c>
      <c r="B60" s="56"/>
      <c r="C60" s="58"/>
      <c r="D60" s="60">
        <v>1.0</v>
      </c>
      <c r="E60" s="66">
        <f t="shared" si="1"/>
        <v>1</v>
      </c>
      <c r="F60" s="68">
        <f t="shared" si="2"/>
        <v>1</v>
      </c>
      <c r="G60" s="68">
        <f t="shared" si="3"/>
        <v>0</v>
      </c>
      <c r="H60" s="72">
        <f>J60/I60</f>
        <v>0</v>
      </c>
      <c r="I60" s="73">
        <v>1.0</v>
      </c>
      <c r="J60" s="74"/>
      <c r="K60" s="75">
        <v>0.1</v>
      </c>
      <c r="L60" s="76">
        <v>0.0</v>
      </c>
      <c r="M60" s="79"/>
      <c r="N60" s="82"/>
      <c r="O60" s="85"/>
    </row>
    <row r="61">
      <c r="A61" s="55" t="s">
        <v>140</v>
      </c>
      <c r="B61" s="56" t="s">
        <v>275</v>
      </c>
      <c r="C61" s="158" t="s">
        <v>276</v>
      </c>
      <c r="D61" s="67">
        <v>1.0</v>
      </c>
      <c r="E61" s="66">
        <f t="shared" si="1"/>
        <v>-16.6</v>
      </c>
      <c r="F61" s="70">
        <f t="shared" si="2"/>
        <v>-16.6</v>
      </c>
      <c r="G61" s="70">
        <f t="shared" si="3"/>
        <v>17.6</v>
      </c>
      <c r="H61" s="77">
        <v>16.0</v>
      </c>
      <c r="I61" s="78">
        <v>1.0</v>
      </c>
      <c r="J61" s="80"/>
      <c r="K61" s="84">
        <v>0.1</v>
      </c>
      <c r="L61" s="163">
        <v>0.0</v>
      </c>
      <c r="M61" s="88" t="s">
        <v>112</v>
      </c>
      <c r="N61" s="90"/>
      <c r="O61" s="91" t="s">
        <v>283</v>
      </c>
    </row>
    <row r="62">
      <c r="A62" s="55" t="s">
        <v>140</v>
      </c>
      <c r="B62" s="56"/>
      <c r="C62" s="158" t="s">
        <v>285</v>
      </c>
      <c r="D62" s="67">
        <v>1.0</v>
      </c>
      <c r="E62" s="66">
        <f t="shared" si="1"/>
        <v>-54</v>
      </c>
      <c r="F62" s="70">
        <f t="shared" si="2"/>
        <v>-54</v>
      </c>
      <c r="G62" s="70">
        <f t="shared" si="3"/>
        <v>55</v>
      </c>
      <c r="H62" s="77">
        <v>50.0</v>
      </c>
      <c r="I62" s="78">
        <v>1.0</v>
      </c>
      <c r="J62" s="80"/>
      <c r="K62" s="84">
        <v>0.1</v>
      </c>
      <c r="L62" s="163">
        <v>0.0</v>
      </c>
      <c r="M62" s="88" t="s">
        <v>112</v>
      </c>
      <c r="N62" s="90"/>
      <c r="O62" s="91" t="s">
        <v>290</v>
      </c>
    </row>
    <row r="63">
      <c r="A63" s="55" t="s">
        <v>140</v>
      </c>
      <c r="B63" s="56"/>
      <c r="C63" s="158" t="s">
        <v>291</v>
      </c>
      <c r="D63" s="60">
        <v>1.0</v>
      </c>
      <c r="E63" s="66">
        <f t="shared" si="1"/>
        <v>-25.95</v>
      </c>
      <c r="F63" s="68">
        <f t="shared" si="2"/>
        <v>-25.95</v>
      </c>
      <c r="G63" s="68">
        <f t="shared" si="3"/>
        <v>26.95</v>
      </c>
      <c r="H63" s="72">
        <v>24.5</v>
      </c>
      <c r="I63" s="73">
        <v>1.0</v>
      </c>
      <c r="J63" s="74"/>
      <c r="K63" s="75">
        <v>0.1</v>
      </c>
      <c r="L63" s="76">
        <v>0.0</v>
      </c>
      <c r="M63" s="79" t="s">
        <v>112</v>
      </c>
      <c r="N63" s="82"/>
      <c r="O63" s="85"/>
    </row>
    <row r="64">
      <c r="A64" s="55" t="s">
        <v>140</v>
      </c>
      <c r="B64" s="56"/>
      <c r="C64" s="158" t="s">
        <v>291</v>
      </c>
      <c r="D64" s="60">
        <v>1.0</v>
      </c>
      <c r="E64" s="66">
        <f t="shared" si="1"/>
        <v>-19.35</v>
      </c>
      <c r="F64" s="68">
        <f t="shared" si="2"/>
        <v>-19.35</v>
      </c>
      <c r="G64" s="68">
        <f t="shared" si="3"/>
        <v>20.35</v>
      </c>
      <c r="H64" s="72">
        <v>18.5</v>
      </c>
      <c r="I64" s="73">
        <v>1.0</v>
      </c>
      <c r="J64" s="74"/>
      <c r="K64" s="75">
        <v>0.1</v>
      </c>
      <c r="L64" s="76">
        <v>0.0</v>
      </c>
      <c r="M64" s="79" t="s">
        <v>108</v>
      </c>
      <c r="N64" s="82"/>
      <c r="O64" s="85"/>
    </row>
    <row r="65">
      <c r="A65" s="160" t="s">
        <v>140</v>
      </c>
      <c r="B65" s="180"/>
      <c r="C65" s="182" t="s">
        <v>308</v>
      </c>
      <c r="D65" s="164">
        <v>1.0</v>
      </c>
      <c r="E65" s="165">
        <f t="shared" si="1"/>
        <v>-4.2</v>
      </c>
      <c r="F65" s="166">
        <f t="shared" si="2"/>
        <v>-4.2</v>
      </c>
      <c r="G65" s="186">
        <v>5.2</v>
      </c>
      <c r="H65" s="167">
        <f t="shared" ref="H65:H67" si="9">J65/I65</f>
        <v>0</v>
      </c>
      <c r="I65" s="168">
        <v>1.0</v>
      </c>
      <c r="J65" s="169"/>
      <c r="K65" s="170">
        <v>0.1</v>
      </c>
      <c r="L65" s="171">
        <v>0.0</v>
      </c>
      <c r="M65" s="79" t="s">
        <v>108</v>
      </c>
      <c r="N65" s="82"/>
      <c r="O65" s="190"/>
    </row>
    <row r="66">
      <c r="A66" s="55" t="s">
        <v>140</v>
      </c>
      <c r="B66" s="56"/>
      <c r="C66" s="158" t="s">
        <v>308</v>
      </c>
      <c r="D66" s="60">
        <v>1.0</v>
      </c>
      <c r="E66" s="66">
        <f t="shared" si="1"/>
        <v>-3.9</v>
      </c>
      <c r="F66" s="68">
        <f t="shared" si="2"/>
        <v>-3.9</v>
      </c>
      <c r="G66" s="68">
        <v>4.9</v>
      </c>
      <c r="H66" s="72">
        <f t="shared" si="9"/>
        <v>0</v>
      </c>
      <c r="I66" s="73">
        <v>1.0</v>
      </c>
      <c r="J66" s="74"/>
      <c r="K66" s="75">
        <v>0.1</v>
      </c>
      <c r="L66" s="76">
        <v>0.0</v>
      </c>
      <c r="M66" s="79" t="s">
        <v>112</v>
      </c>
      <c r="N66" s="82"/>
      <c r="O66" s="85"/>
    </row>
    <row r="67">
      <c r="A67" s="55" t="s">
        <v>140</v>
      </c>
      <c r="B67" s="56"/>
      <c r="C67" s="158" t="s">
        <v>330</v>
      </c>
      <c r="D67" s="60">
        <v>1.0</v>
      </c>
      <c r="E67" s="66">
        <f t="shared" si="1"/>
        <v>1</v>
      </c>
      <c r="F67" s="68">
        <f t="shared" si="2"/>
        <v>1</v>
      </c>
      <c r="G67" s="68">
        <f t="shared" ref="G67:G295" si="10">H67+(H67*K67)+(H67*L67)</f>
        <v>0</v>
      </c>
      <c r="H67" s="72">
        <f t="shared" si="9"/>
        <v>0</v>
      </c>
      <c r="I67" s="73">
        <v>1.0</v>
      </c>
      <c r="J67" s="74"/>
      <c r="K67" s="75">
        <v>0.1</v>
      </c>
      <c r="L67" s="76">
        <v>0.0</v>
      </c>
      <c r="M67" s="79"/>
      <c r="N67" s="82"/>
      <c r="O67" s="85"/>
    </row>
    <row r="68">
      <c r="A68" s="55" t="s">
        <v>140</v>
      </c>
      <c r="B68" s="56"/>
      <c r="C68" s="158" t="s">
        <v>330</v>
      </c>
      <c r="D68" s="60">
        <v>1.0</v>
      </c>
      <c r="E68" s="66">
        <f t="shared" si="1"/>
        <v>-7.58</v>
      </c>
      <c r="F68" s="68">
        <f t="shared" si="2"/>
        <v>-7.58</v>
      </c>
      <c r="G68" s="68">
        <f t="shared" si="10"/>
        <v>8.58</v>
      </c>
      <c r="H68" s="72">
        <v>7.8</v>
      </c>
      <c r="I68" s="73">
        <v>1.0</v>
      </c>
      <c r="J68" s="74"/>
      <c r="K68" s="75">
        <v>0.1</v>
      </c>
      <c r="L68" s="76">
        <v>0.0</v>
      </c>
      <c r="M68" s="79" t="s">
        <v>108</v>
      </c>
      <c r="N68" s="82"/>
      <c r="O68" s="85"/>
    </row>
    <row r="69">
      <c r="A69" s="55" t="s">
        <v>140</v>
      </c>
      <c r="B69" s="56"/>
      <c r="C69" s="158" t="s">
        <v>58</v>
      </c>
      <c r="D69" s="60">
        <v>1.0</v>
      </c>
      <c r="E69" s="66">
        <f t="shared" si="1"/>
        <v>1</v>
      </c>
      <c r="F69" s="68">
        <f t="shared" si="2"/>
        <v>1</v>
      </c>
      <c r="G69" s="68">
        <f t="shared" si="10"/>
        <v>0</v>
      </c>
      <c r="H69" s="72">
        <f t="shared" ref="H69:H74" si="11">J69/I69</f>
        <v>0</v>
      </c>
      <c r="I69" s="73">
        <v>1.0</v>
      </c>
      <c r="J69" s="74"/>
      <c r="K69" s="75">
        <v>0.1</v>
      </c>
      <c r="L69" s="76">
        <v>0.0</v>
      </c>
      <c r="M69" s="79"/>
      <c r="N69" s="82"/>
      <c r="O69" s="85"/>
    </row>
    <row r="70">
      <c r="A70" s="55" t="s">
        <v>140</v>
      </c>
      <c r="B70" s="56"/>
      <c r="C70" s="158" t="s">
        <v>58</v>
      </c>
      <c r="D70" s="60">
        <v>1.0</v>
      </c>
      <c r="E70" s="66">
        <f t="shared" si="1"/>
        <v>1</v>
      </c>
      <c r="F70" s="68">
        <f t="shared" si="2"/>
        <v>1</v>
      </c>
      <c r="G70" s="68">
        <f t="shared" si="10"/>
        <v>0</v>
      </c>
      <c r="H70" s="72">
        <f t="shared" si="11"/>
        <v>0</v>
      </c>
      <c r="I70" s="73">
        <v>1.0</v>
      </c>
      <c r="J70" s="74"/>
      <c r="K70" s="75">
        <v>0.1</v>
      </c>
      <c r="L70" s="76">
        <v>0.0</v>
      </c>
      <c r="M70" s="79"/>
      <c r="N70" s="82"/>
      <c r="O70" s="85"/>
    </row>
    <row r="71">
      <c r="A71" s="55" t="s">
        <v>140</v>
      </c>
      <c r="B71" s="56"/>
      <c r="C71" s="158" t="s">
        <v>356</v>
      </c>
      <c r="D71" s="60">
        <v>1.0</v>
      </c>
      <c r="E71" s="66">
        <f t="shared" si="1"/>
        <v>1</v>
      </c>
      <c r="F71" s="68">
        <f t="shared" si="2"/>
        <v>1</v>
      </c>
      <c r="G71" s="68">
        <f t="shared" si="10"/>
        <v>0</v>
      </c>
      <c r="H71" s="72">
        <f t="shared" si="11"/>
        <v>0</v>
      </c>
      <c r="I71" s="73">
        <v>1.0</v>
      </c>
      <c r="J71" s="74"/>
      <c r="K71" s="75">
        <v>0.1</v>
      </c>
      <c r="L71" s="76">
        <v>0.0</v>
      </c>
      <c r="M71" s="79"/>
      <c r="N71" s="82"/>
      <c r="O71" s="85"/>
    </row>
    <row r="72">
      <c r="A72" s="55" t="s">
        <v>140</v>
      </c>
      <c r="B72" s="56"/>
      <c r="C72" s="158" t="s">
        <v>119</v>
      </c>
      <c r="D72" s="60">
        <v>1.0</v>
      </c>
      <c r="E72" s="66">
        <f t="shared" si="1"/>
        <v>1</v>
      </c>
      <c r="F72" s="68">
        <f t="shared" si="2"/>
        <v>1</v>
      </c>
      <c r="G72" s="68">
        <f t="shared" si="10"/>
        <v>0</v>
      </c>
      <c r="H72" s="72">
        <f t="shared" si="11"/>
        <v>0</v>
      </c>
      <c r="I72" s="73">
        <v>1.0</v>
      </c>
      <c r="J72" s="74"/>
      <c r="K72" s="75">
        <v>0.1</v>
      </c>
      <c r="L72" s="76">
        <v>0.0</v>
      </c>
      <c r="M72" s="79"/>
      <c r="N72" s="82"/>
      <c r="O72" s="85"/>
    </row>
    <row r="73">
      <c r="A73" s="55" t="s">
        <v>140</v>
      </c>
      <c r="B73" s="56"/>
      <c r="C73" s="158" t="s">
        <v>371</v>
      </c>
      <c r="D73" s="60">
        <v>1.0</v>
      </c>
      <c r="E73" s="66">
        <f t="shared" si="1"/>
        <v>1</v>
      </c>
      <c r="F73" s="68">
        <f t="shared" si="2"/>
        <v>1</v>
      </c>
      <c r="G73" s="68">
        <f t="shared" si="10"/>
        <v>0</v>
      </c>
      <c r="H73" s="72">
        <f t="shared" si="11"/>
        <v>0</v>
      </c>
      <c r="I73" s="73">
        <v>1.0</v>
      </c>
      <c r="J73" s="74"/>
      <c r="K73" s="75">
        <v>0.1</v>
      </c>
      <c r="L73" s="76">
        <v>0.0</v>
      </c>
      <c r="M73" s="79"/>
      <c r="N73" s="82"/>
      <c r="O73" s="85"/>
    </row>
    <row r="74">
      <c r="A74" s="55" t="s">
        <v>140</v>
      </c>
      <c r="B74" s="56"/>
      <c r="C74" s="158" t="s">
        <v>375</v>
      </c>
      <c r="D74" s="60">
        <v>1.0</v>
      </c>
      <c r="E74" s="66">
        <f t="shared" si="1"/>
        <v>1</v>
      </c>
      <c r="F74" s="68">
        <f t="shared" si="2"/>
        <v>1</v>
      </c>
      <c r="G74" s="68">
        <f t="shared" si="10"/>
        <v>0</v>
      </c>
      <c r="H74" s="72">
        <f t="shared" si="11"/>
        <v>0</v>
      </c>
      <c r="I74" s="73">
        <v>1.0</v>
      </c>
      <c r="J74" s="74"/>
      <c r="K74" s="75">
        <v>0.1</v>
      </c>
      <c r="L74" s="76">
        <v>0.0</v>
      </c>
      <c r="M74" s="79"/>
      <c r="N74" s="82"/>
      <c r="O74" s="85"/>
    </row>
    <row r="75">
      <c r="A75" s="55" t="s">
        <v>140</v>
      </c>
      <c r="B75" s="56"/>
      <c r="C75" s="158" t="s">
        <v>380</v>
      </c>
      <c r="D75" s="60">
        <v>1.0</v>
      </c>
      <c r="E75" s="66">
        <f t="shared" si="1"/>
        <v>-5.6</v>
      </c>
      <c r="F75" s="68">
        <f t="shared" si="2"/>
        <v>-5.6</v>
      </c>
      <c r="G75" s="68">
        <f t="shared" si="10"/>
        <v>6.6</v>
      </c>
      <c r="H75" s="72">
        <v>6.0</v>
      </c>
      <c r="I75" s="73">
        <v>1.0</v>
      </c>
      <c r="J75" s="74"/>
      <c r="K75" s="75">
        <v>0.1</v>
      </c>
      <c r="L75" s="76">
        <v>0.0</v>
      </c>
      <c r="M75" s="79"/>
      <c r="N75" s="82"/>
      <c r="O75" s="85" t="s">
        <v>385</v>
      </c>
    </row>
    <row r="76">
      <c r="A76" s="55" t="s">
        <v>140</v>
      </c>
      <c r="B76" s="56"/>
      <c r="C76" s="158" t="s">
        <v>388</v>
      </c>
      <c r="D76" s="60">
        <v>1.0</v>
      </c>
      <c r="E76" s="66">
        <f t="shared" si="1"/>
        <v>-6.7</v>
      </c>
      <c r="F76" s="68">
        <f t="shared" si="2"/>
        <v>-6.7</v>
      </c>
      <c r="G76" s="68">
        <f t="shared" si="10"/>
        <v>7.7</v>
      </c>
      <c r="H76" s="72">
        <v>7.0</v>
      </c>
      <c r="I76" s="73">
        <v>1.0</v>
      </c>
      <c r="J76" s="74"/>
      <c r="K76" s="75">
        <v>0.1</v>
      </c>
      <c r="L76" s="76">
        <v>0.0</v>
      </c>
      <c r="M76" s="79"/>
      <c r="N76" s="82"/>
      <c r="O76" s="85" t="s">
        <v>389</v>
      </c>
    </row>
    <row r="77">
      <c r="A77" s="55" t="s">
        <v>140</v>
      </c>
      <c r="B77" s="56"/>
      <c r="C77" s="158" t="s">
        <v>390</v>
      </c>
      <c r="D77" s="60">
        <v>1.0</v>
      </c>
      <c r="E77" s="66">
        <f t="shared" si="1"/>
        <v>1</v>
      </c>
      <c r="F77" s="68">
        <f t="shared" si="2"/>
        <v>1</v>
      </c>
      <c r="G77" s="68">
        <f t="shared" si="10"/>
        <v>0</v>
      </c>
      <c r="H77" s="72">
        <f t="shared" ref="H77:H79" si="12">J77/I77</f>
        <v>0</v>
      </c>
      <c r="I77" s="73">
        <v>1.0</v>
      </c>
      <c r="J77" s="74"/>
      <c r="K77" s="75">
        <v>0.1</v>
      </c>
      <c r="L77" s="76">
        <v>0.0</v>
      </c>
      <c r="M77" s="79"/>
      <c r="N77" s="82"/>
      <c r="O77" s="85"/>
    </row>
    <row r="78">
      <c r="A78" s="55" t="s">
        <v>140</v>
      </c>
      <c r="B78" s="56"/>
      <c r="C78" s="58" t="s">
        <v>354</v>
      </c>
      <c r="D78" s="60">
        <v>1.0</v>
      </c>
      <c r="E78" s="66">
        <f t="shared" si="1"/>
        <v>1</v>
      </c>
      <c r="F78" s="68">
        <f t="shared" si="2"/>
        <v>1</v>
      </c>
      <c r="G78" s="68">
        <f t="shared" si="10"/>
        <v>0</v>
      </c>
      <c r="H78" s="72">
        <f t="shared" si="12"/>
        <v>0</v>
      </c>
      <c r="I78" s="73">
        <v>1.0</v>
      </c>
      <c r="J78" s="74"/>
      <c r="K78" s="75">
        <v>0.1</v>
      </c>
      <c r="L78" s="76">
        <v>0.0</v>
      </c>
      <c r="M78" s="79"/>
      <c r="N78" s="82"/>
      <c r="O78" s="85"/>
    </row>
    <row r="79">
      <c r="A79" s="55" t="s">
        <v>140</v>
      </c>
      <c r="B79" s="56"/>
      <c r="C79" s="58" t="s">
        <v>393</v>
      </c>
      <c r="D79" s="60">
        <v>1.0</v>
      </c>
      <c r="E79" s="66">
        <f t="shared" si="1"/>
        <v>1</v>
      </c>
      <c r="F79" s="68">
        <f t="shared" si="2"/>
        <v>1</v>
      </c>
      <c r="G79" s="68">
        <f t="shared" si="10"/>
        <v>0</v>
      </c>
      <c r="H79" s="72">
        <f t="shared" si="12"/>
        <v>0</v>
      </c>
      <c r="I79" s="73">
        <v>1.0</v>
      </c>
      <c r="J79" s="74"/>
      <c r="K79" s="75">
        <v>0.1</v>
      </c>
      <c r="L79" s="76">
        <v>0.0</v>
      </c>
      <c r="M79" s="79"/>
      <c r="N79" s="82"/>
      <c r="O79" s="85"/>
    </row>
    <row r="80">
      <c r="A80" s="55" t="s">
        <v>140</v>
      </c>
      <c r="B80" s="56"/>
      <c r="C80" s="58" t="s">
        <v>394</v>
      </c>
      <c r="D80" s="60">
        <v>1.0</v>
      </c>
      <c r="E80" s="66">
        <f t="shared" si="1"/>
        <v>-5.16</v>
      </c>
      <c r="F80" s="68">
        <f t="shared" si="2"/>
        <v>-5.16</v>
      </c>
      <c r="G80" s="68">
        <f t="shared" si="10"/>
        <v>6.16</v>
      </c>
      <c r="H80" s="72">
        <v>5.6</v>
      </c>
      <c r="I80" s="73">
        <v>1.0</v>
      </c>
      <c r="J80" s="74"/>
      <c r="K80" s="75">
        <v>0.1</v>
      </c>
      <c r="L80" s="76">
        <v>0.0</v>
      </c>
      <c r="M80" s="79" t="s">
        <v>86</v>
      </c>
      <c r="N80" s="82"/>
      <c r="O80" s="85"/>
    </row>
    <row r="81">
      <c r="A81" s="55" t="s">
        <v>140</v>
      </c>
      <c r="B81" s="56"/>
      <c r="C81" s="158" t="s">
        <v>396</v>
      </c>
      <c r="D81" s="60">
        <v>1.0</v>
      </c>
      <c r="E81" s="66">
        <f t="shared" si="1"/>
        <v>-4.39</v>
      </c>
      <c r="F81" s="68">
        <f t="shared" si="2"/>
        <v>-4.39</v>
      </c>
      <c r="G81" s="68">
        <f t="shared" si="10"/>
        <v>5.39</v>
      </c>
      <c r="H81" s="72">
        <v>4.9</v>
      </c>
      <c r="I81" s="73">
        <v>1.0</v>
      </c>
      <c r="J81" s="74"/>
      <c r="K81" s="75">
        <v>0.1</v>
      </c>
      <c r="L81" s="76">
        <v>0.0</v>
      </c>
      <c r="M81" s="79" t="s">
        <v>112</v>
      </c>
      <c r="N81" s="82"/>
      <c r="O81" s="85"/>
    </row>
    <row r="82">
      <c r="A82" s="55" t="s">
        <v>140</v>
      </c>
      <c r="B82" s="56"/>
      <c r="C82" s="158" t="s">
        <v>398</v>
      </c>
      <c r="D82" s="60">
        <v>1.0</v>
      </c>
      <c r="E82" s="66">
        <f t="shared" si="1"/>
        <v>-10.88</v>
      </c>
      <c r="F82" s="68">
        <f t="shared" si="2"/>
        <v>-10.88</v>
      </c>
      <c r="G82" s="68">
        <f t="shared" si="10"/>
        <v>11.88</v>
      </c>
      <c r="H82" s="72">
        <v>10.8</v>
      </c>
      <c r="I82" s="73">
        <v>1.0</v>
      </c>
      <c r="J82" s="74"/>
      <c r="K82" s="75">
        <v>0.1</v>
      </c>
      <c r="L82" s="76">
        <v>0.0</v>
      </c>
      <c r="M82" s="79" t="s">
        <v>399</v>
      </c>
      <c r="N82" s="82"/>
      <c r="O82" s="85"/>
    </row>
    <row r="83">
      <c r="A83" s="55" t="s">
        <v>140</v>
      </c>
      <c r="B83" s="56"/>
      <c r="C83" s="158" t="s">
        <v>400</v>
      </c>
      <c r="D83" s="60">
        <v>1.0</v>
      </c>
      <c r="E83" s="66">
        <f t="shared" si="1"/>
        <v>1</v>
      </c>
      <c r="F83" s="68">
        <f t="shared" si="2"/>
        <v>1</v>
      </c>
      <c r="G83" s="68">
        <f t="shared" si="10"/>
        <v>0</v>
      </c>
      <c r="H83" s="72">
        <v>0.0</v>
      </c>
      <c r="I83" s="73">
        <v>1.0</v>
      </c>
      <c r="J83" s="74"/>
      <c r="K83" s="75">
        <v>0.1</v>
      </c>
      <c r="L83" s="76">
        <v>0.0</v>
      </c>
      <c r="M83" s="79"/>
      <c r="N83" s="82"/>
      <c r="O83" s="85"/>
    </row>
    <row r="84">
      <c r="A84" s="55" t="s">
        <v>140</v>
      </c>
      <c r="B84" s="56"/>
      <c r="C84" s="158"/>
      <c r="D84" s="60">
        <v>1.0</v>
      </c>
      <c r="E84" s="66">
        <f t="shared" si="1"/>
        <v>1</v>
      </c>
      <c r="F84" s="68">
        <f t="shared" si="2"/>
        <v>1</v>
      </c>
      <c r="G84" s="68">
        <f t="shared" si="10"/>
        <v>0</v>
      </c>
      <c r="H84" s="72">
        <v>0.0</v>
      </c>
      <c r="I84" s="73">
        <v>1.0</v>
      </c>
      <c r="J84" s="74"/>
      <c r="K84" s="75">
        <v>0.1</v>
      </c>
      <c r="L84" s="76">
        <v>0.0</v>
      </c>
      <c r="M84" s="79"/>
      <c r="N84" s="82"/>
      <c r="O84" s="85"/>
    </row>
    <row r="85">
      <c r="A85" s="55" t="s">
        <v>140</v>
      </c>
      <c r="B85" s="56"/>
      <c r="C85" s="158" t="s">
        <v>402</v>
      </c>
      <c r="D85" s="60">
        <v>1.0</v>
      </c>
      <c r="E85" s="66">
        <f t="shared" si="1"/>
        <v>1</v>
      </c>
      <c r="F85" s="68">
        <f t="shared" si="2"/>
        <v>1</v>
      </c>
      <c r="G85" s="68">
        <f t="shared" si="10"/>
        <v>0</v>
      </c>
      <c r="H85" s="72">
        <v>0.0</v>
      </c>
      <c r="I85" s="73">
        <v>1.0</v>
      </c>
      <c r="J85" s="74"/>
      <c r="K85" s="75">
        <v>0.1</v>
      </c>
      <c r="L85" s="76">
        <v>0.0</v>
      </c>
      <c r="M85" s="79"/>
      <c r="N85" s="82"/>
      <c r="O85" s="85"/>
    </row>
    <row r="86">
      <c r="A86" s="55" t="s">
        <v>140</v>
      </c>
      <c r="B86" s="56"/>
      <c r="C86" s="158" t="s">
        <v>403</v>
      </c>
      <c r="D86" s="60">
        <v>1.0</v>
      </c>
      <c r="E86" s="66">
        <f t="shared" si="1"/>
        <v>-4.665</v>
      </c>
      <c r="F86" s="68">
        <f t="shared" si="2"/>
        <v>-4.665</v>
      </c>
      <c r="G86" s="68">
        <f t="shared" si="10"/>
        <v>5.665</v>
      </c>
      <c r="H86" s="72">
        <v>5.15</v>
      </c>
      <c r="I86" s="73">
        <v>1.0</v>
      </c>
      <c r="J86" s="74"/>
      <c r="K86" s="75">
        <v>0.1</v>
      </c>
      <c r="L86" s="76">
        <v>0.0</v>
      </c>
      <c r="M86" s="79"/>
      <c r="N86" s="82"/>
      <c r="O86" s="85"/>
    </row>
    <row r="87">
      <c r="A87" s="55" t="s">
        <v>140</v>
      </c>
      <c r="B87" s="56"/>
      <c r="C87" s="158" t="s">
        <v>405</v>
      </c>
      <c r="D87" s="60">
        <v>1.0</v>
      </c>
      <c r="E87" s="66">
        <f t="shared" si="1"/>
        <v>-3.51</v>
      </c>
      <c r="F87" s="68">
        <f t="shared" si="2"/>
        <v>-3.51</v>
      </c>
      <c r="G87" s="68">
        <f t="shared" si="10"/>
        <v>4.51</v>
      </c>
      <c r="H87" s="72">
        <v>4.1</v>
      </c>
      <c r="I87" s="73">
        <v>1.0</v>
      </c>
      <c r="J87" s="74"/>
      <c r="K87" s="75">
        <v>0.1</v>
      </c>
      <c r="L87" s="76">
        <v>0.0</v>
      </c>
      <c r="M87" s="79"/>
      <c r="N87" s="82"/>
      <c r="O87" s="85"/>
    </row>
    <row r="88">
      <c r="A88" s="55" t="s">
        <v>140</v>
      </c>
      <c r="B88" s="56"/>
      <c r="C88" s="158" t="s">
        <v>407</v>
      </c>
      <c r="D88" s="60">
        <v>1.0</v>
      </c>
      <c r="E88" s="66">
        <f t="shared" si="1"/>
        <v>-5.05</v>
      </c>
      <c r="F88" s="68">
        <f t="shared" si="2"/>
        <v>-5.05</v>
      </c>
      <c r="G88" s="68">
        <f t="shared" si="10"/>
        <v>6.05</v>
      </c>
      <c r="H88" s="72">
        <v>5.5</v>
      </c>
      <c r="I88" s="73">
        <v>1.0</v>
      </c>
      <c r="J88" s="74"/>
      <c r="K88" s="75">
        <v>0.1</v>
      </c>
      <c r="L88" s="76">
        <v>0.0</v>
      </c>
      <c r="M88" s="79" t="s">
        <v>112</v>
      </c>
      <c r="N88" s="82"/>
      <c r="O88" s="85"/>
    </row>
    <row r="89">
      <c r="A89" s="55" t="s">
        <v>140</v>
      </c>
      <c r="B89" s="56"/>
      <c r="C89" s="201" t="s">
        <v>409</v>
      </c>
      <c r="D89" s="67">
        <v>1.0</v>
      </c>
      <c r="E89" s="66">
        <f t="shared" si="1"/>
        <v>-3.675</v>
      </c>
      <c r="F89" s="70">
        <f t="shared" si="2"/>
        <v>-3.675</v>
      </c>
      <c r="G89" s="70">
        <f t="shared" si="10"/>
        <v>4.675</v>
      </c>
      <c r="H89" s="77">
        <v>4.25</v>
      </c>
      <c r="I89" s="78">
        <v>1.0</v>
      </c>
      <c r="J89" s="80"/>
      <c r="K89" s="84">
        <v>0.1</v>
      </c>
      <c r="L89" s="163">
        <v>0.0</v>
      </c>
      <c r="M89" s="88" t="s">
        <v>411</v>
      </c>
      <c r="N89" s="90"/>
      <c r="O89" s="91"/>
    </row>
    <row r="90">
      <c r="A90" s="55" t="s">
        <v>140</v>
      </c>
      <c r="B90" s="56"/>
      <c r="C90" s="201" t="s">
        <v>412</v>
      </c>
      <c r="D90" s="67">
        <v>1.0</v>
      </c>
      <c r="E90" s="66">
        <f t="shared" si="1"/>
        <v>-12.365</v>
      </c>
      <c r="F90" s="70">
        <f t="shared" si="2"/>
        <v>-12.365</v>
      </c>
      <c r="G90" s="70">
        <f t="shared" si="10"/>
        <v>13.365</v>
      </c>
      <c r="H90" s="77">
        <v>12.15</v>
      </c>
      <c r="I90" s="78">
        <v>1.0</v>
      </c>
      <c r="J90" s="80"/>
      <c r="K90" s="84">
        <v>0.1</v>
      </c>
      <c r="L90" s="163">
        <v>0.0</v>
      </c>
      <c r="M90" s="88" t="s">
        <v>411</v>
      </c>
      <c r="N90" s="90"/>
      <c r="O90" s="91" t="s">
        <v>414</v>
      </c>
    </row>
    <row r="91">
      <c r="A91" s="55" t="s">
        <v>140</v>
      </c>
      <c r="B91" s="56"/>
      <c r="C91" s="201" t="s">
        <v>412</v>
      </c>
      <c r="D91" s="67">
        <v>1.0</v>
      </c>
      <c r="E91" s="66">
        <f t="shared" si="1"/>
        <v>-9.67</v>
      </c>
      <c r="F91" s="70">
        <f t="shared" si="2"/>
        <v>-9.67</v>
      </c>
      <c r="G91" s="70">
        <f t="shared" si="10"/>
        <v>10.67</v>
      </c>
      <c r="H91" s="77">
        <v>9.7</v>
      </c>
      <c r="I91" s="78">
        <v>1.0</v>
      </c>
      <c r="J91" s="80"/>
      <c r="K91" s="84">
        <v>0.1</v>
      </c>
      <c r="L91" s="163">
        <v>0.0</v>
      </c>
      <c r="M91" s="88" t="s">
        <v>112</v>
      </c>
      <c r="N91" s="90"/>
      <c r="O91" s="91" t="s">
        <v>414</v>
      </c>
    </row>
    <row r="92">
      <c r="A92" s="55" t="s">
        <v>140</v>
      </c>
      <c r="B92" s="56"/>
      <c r="C92" s="201"/>
      <c r="D92" s="67">
        <v>1.0</v>
      </c>
      <c r="E92" s="66">
        <f t="shared" si="1"/>
        <v>1</v>
      </c>
      <c r="F92" s="70">
        <f t="shared" si="2"/>
        <v>1</v>
      </c>
      <c r="G92" s="70">
        <f t="shared" si="10"/>
        <v>0</v>
      </c>
      <c r="H92" s="77">
        <f>J92/I92</f>
        <v>0</v>
      </c>
      <c r="I92" s="78">
        <v>1.0</v>
      </c>
      <c r="J92" s="80"/>
      <c r="K92" s="84">
        <v>0.1</v>
      </c>
      <c r="L92" s="163">
        <v>0.0</v>
      </c>
      <c r="M92" s="88"/>
      <c r="N92" s="90"/>
      <c r="O92" s="91"/>
    </row>
    <row r="93">
      <c r="A93" s="55" t="s">
        <v>140</v>
      </c>
      <c r="B93" s="56" t="s">
        <v>417</v>
      </c>
      <c r="C93" s="201" t="s">
        <v>418</v>
      </c>
      <c r="D93" s="67">
        <v>2.0</v>
      </c>
      <c r="E93" s="66">
        <f t="shared" si="1"/>
        <v>-0.25568</v>
      </c>
      <c r="F93" s="70">
        <f t="shared" si="2"/>
        <v>-0.51136</v>
      </c>
      <c r="G93" s="70">
        <f t="shared" si="10"/>
        <v>2.51136</v>
      </c>
      <c r="H93" s="77">
        <v>2.18</v>
      </c>
      <c r="I93" s="78">
        <v>2.0</v>
      </c>
      <c r="J93" s="80"/>
      <c r="K93" s="84">
        <v>0.1</v>
      </c>
      <c r="L93" s="87">
        <v>0.052</v>
      </c>
      <c r="M93" s="88" t="s">
        <v>152</v>
      </c>
      <c r="N93" s="90"/>
      <c r="O93" s="91"/>
    </row>
    <row r="94">
      <c r="A94" s="55" t="s">
        <v>140</v>
      </c>
      <c r="B94" s="56"/>
      <c r="C94" s="158" t="s">
        <v>420</v>
      </c>
      <c r="D94" s="60">
        <v>35.0</v>
      </c>
      <c r="E94" s="66">
        <f t="shared" si="1"/>
        <v>-0.1</v>
      </c>
      <c r="F94" s="68">
        <f t="shared" si="2"/>
        <v>-3.5</v>
      </c>
      <c r="G94" s="68">
        <f t="shared" si="10"/>
        <v>38.5</v>
      </c>
      <c r="H94" s="72">
        <v>35.0</v>
      </c>
      <c r="I94" s="73">
        <v>1.0</v>
      </c>
      <c r="J94" s="74"/>
      <c r="K94" s="75">
        <v>0.1</v>
      </c>
      <c r="L94" s="76">
        <v>0.0</v>
      </c>
      <c r="M94" s="79" t="s">
        <v>422</v>
      </c>
      <c r="N94" s="82"/>
      <c r="O94" s="85"/>
    </row>
    <row r="95">
      <c r="A95" s="55" t="s">
        <v>140</v>
      </c>
      <c r="B95" s="56"/>
      <c r="C95" s="158" t="s">
        <v>423</v>
      </c>
      <c r="D95" s="60">
        <v>32.0</v>
      </c>
      <c r="E95" s="66">
        <f t="shared" si="1"/>
        <v>-0.1</v>
      </c>
      <c r="F95" s="68">
        <f t="shared" si="2"/>
        <v>-3.2</v>
      </c>
      <c r="G95" s="68">
        <f t="shared" si="10"/>
        <v>35.2</v>
      </c>
      <c r="H95" s="72">
        <v>32.0</v>
      </c>
      <c r="I95" s="73">
        <v>1.0</v>
      </c>
      <c r="J95" s="74"/>
      <c r="K95" s="75">
        <v>0.1</v>
      </c>
      <c r="L95" s="76">
        <v>0.0</v>
      </c>
      <c r="M95" s="79" t="s">
        <v>422</v>
      </c>
      <c r="N95" s="82"/>
      <c r="O95" s="85"/>
    </row>
    <row r="96">
      <c r="A96" s="55" t="s">
        <v>140</v>
      </c>
      <c r="B96" s="56"/>
      <c r="C96" s="158" t="s">
        <v>425</v>
      </c>
      <c r="D96" s="60">
        <v>30.0</v>
      </c>
      <c r="E96" s="66">
        <f t="shared" si="1"/>
        <v>-0.1</v>
      </c>
      <c r="F96" s="68">
        <f t="shared" si="2"/>
        <v>-3</v>
      </c>
      <c r="G96" s="68">
        <f t="shared" si="10"/>
        <v>33</v>
      </c>
      <c r="H96" s="72">
        <v>30.0</v>
      </c>
      <c r="I96" s="73">
        <v>1.0</v>
      </c>
      <c r="J96" s="74"/>
      <c r="K96" s="75">
        <v>0.1</v>
      </c>
      <c r="L96" s="76">
        <v>0.0</v>
      </c>
      <c r="M96" s="79" t="s">
        <v>422</v>
      </c>
      <c r="N96" s="82"/>
      <c r="O96" s="85"/>
    </row>
    <row r="97">
      <c r="A97" s="55" t="s">
        <v>140</v>
      </c>
      <c r="B97" s="56"/>
      <c r="C97" s="58" t="s">
        <v>429</v>
      </c>
      <c r="D97" s="60">
        <v>1.0</v>
      </c>
      <c r="E97" s="66">
        <f t="shared" si="1"/>
        <v>1</v>
      </c>
      <c r="F97" s="68">
        <f t="shared" si="2"/>
        <v>1</v>
      </c>
      <c r="G97" s="68">
        <f t="shared" si="10"/>
        <v>0</v>
      </c>
      <c r="H97" s="72">
        <f t="shared" ref="H97:H98" si="13">J97/I97</f>
        <v>0</v>
      </c>
      <c r="I97" s="73">
        <v>1.0</v>
      </c>
      <c r="J97" s="74"/>
      <c r="K97" s="75">
        <v>0.1</v>
      </c>
      <c r="L97" s="76">
        <v>0.0</v>
      </c>
      <c r="M97" s="79"/>
      <c r="N97" s="82"/>
      <c r="O97" s="85"/>
    </row>
    <row r="98">
      <c r="A98" s="55" t="s">
        <v>140</v>
      </c>
      <c r="B98" s="56"/>
      <c r="C98" s="158"/>
      <c r="D98" s="60">
        <v>1.0</v>
      </c>
      <c r="E98" s="66">
        <f t="shared" si="1"/>
        <v>1</v>
      </c>
      <c r="F98" s="68">
        <f t="shared" si="2"/>
        <v>1</v>
      </c>
      <c r="G98" s="68">
        <f t="shared" si="10"/>
        <v>0</v>
      </c>
      <c r="H98" s="72">
        <f t="shared" si="13"/>
        <v>0</v>
      </c>
      <c r="I98" s="73">
        <v>1.0</v>
      </c>
      <c r="J98" s="74"/>
      <c r="K98" s="75">
        <v>0.1</v>
      </c>
      <c r="L98" s="76">
        <v>0.0</v>
      </c>
      <c r="M98" s="79"/>
      <c r="N98" s="82"/>
      <c r="O98" s="85"/>
    </row>
    <row r="99">
      <c r="A99" s="55" t="s">
        <v>140</v>
      </c>
      <c r="B99" s="56" t="s">
        <v>432</v>
      </c>
      <c r="C99" s="158" t="s">
        <v>433</v>
      </c>
      <c r="D99" s="60">
        <v>1.0</v>
      </c>
      <c r="E99" s="66">
        <f t="shared" si="1"/>
        <v>-0.65</v>
      </c>
      <c r="F99" s="68">
        <f t="shared" si="2"/>
        <v>-0.65</v>
      </c>
      <c r="G99" s="68">
        <f t="shared" si="10"/>
        <v>1.65</v>
      </c>
      <c r="H99" s="72">
        <v>1.5</v>
      </c>
      <c r="I99" s="73">
        <v>1.0</v>
      </c>
      <c r="J99" s="74"/>
      <c r="K99" s="75">
        <v>0.1</v>
      </c>
      <c r="L99" s="76">
        <v>0.0</v>
      </c>
      <c r="M99" s="79"/>
      <c r="N99" s="82"/>
      <c r="O99" s="85"/>
    </row>
    <row r="100">
      <c r="A100" s="55" t="s">
        <v>140</v>
      </c>
      <c r="B100" s="56"/>
      <c r="C100" s="158" t="s">
        <v>434</v>
      </c>
      <c r="D100" s="60">
        <v>1.0</v>
      </c>
      <c r="E100" s="66">
        <f t="shared" si="1"/>
        <v>0.351</v>
      </c>
      <c r="F100" s="68">
        <f t="shared" si="2"/>
        <v>0.351</v>
      </c>
      <c r="G100" s="68">
        <f t="shared" si="10"/>
        <v>0.649</v>
      </c>
      <c r="H100" s="72">
        <v>0.59</v>
      </c>
      <c r="I100" s="73">
        <v>1.0</v>
      </c>
      <c r="J100" s="74"/>
      <c r="K100" s="75">
        <v>0.1</v>
      </c>
      <c r="L100" s="76">
        <v>0.0</v>
      </c>
      <c r="M100" s="79"/>
      <c r="N100" s="82"/>
      <c r="O100" s="85"/>
    </row>
    <row r="101">
      <c r="A101" s="55" t="s">
        <v>140</v>
      </c>
      <c r="B101" s="56"/>
      <c r="C101" s="158" t="s">
        <v>435</v>
      </c>
      <c r="D101" s="60">
        <v>1.0</v>
      </c>
      <c r="E101" s="66">
        <f t="shared" si="1"/>
        <v>0.241</v>
      </c>
      <c r="F101" s="68">
        <f t="shared" si="2"/>
        <v>0.241</v>
      </c>
      <c r="G101" s="68">
        <f t="shared" si="10"/>
        <v>0.759</v>
      </c>
      <c r="H101" s="72">
        <v>0.69</v>
      </c>
      <c r="I101" s="73">
        <v>1.0</v>
      </c>
      <c r="J101" s="74"/>
      <c r="K101" s="75">
        <v>0.1</v>
      </c>
      <c r="L101" s="76">
        <v>0.0</v>
      </c>
      <c r="M101" s="79"/>
      <c r="N101" s="82"/>
      <c r="O101" s="85"/>
    </row>
    <row r="102">
      <c r="A102" s="55" t="s">
        <v>140</v>
      </c>
      <c r="B102" s="56"/>
      <c r="C102" s="158" t="s">
        <v>437</v>
      </c>
      <c r="D102" s="60">
        <v>1.0</v>
      </c>
      <c r="E102" s="66">
        <f t="shared" si="1"/>
        <v>1</v>
      </c>
      <c r="F102" s="68">
        <f t="shared" si="2"/>
        <v>1</v>
      </c>
      <c r="G102" s="68">
        <f t="shared" si="10"/>
        <v>0</v>
      </c>
      <c r="H102" s="72">
        <f t="shared" ref="H102:H103" si="14">J102/I102</f>
        <v>0</v>
      </c>
      <c r="I102" s="73">
        <v>1.0</v>
      </c>
      <c r="J102" s="74"/>
      <c r="K102" s="75">
        <v>0.1</v>
      </c>
      <c r="L102" s="76">
        <v>0.0</v>
      </c>
      <c r="M102" s="79"/>
      <c r="N102" s="82"/>
      <c r="O102" s="85"/>
    </row>
    <row r="103">
      <c r="A103" s="55" t="s">
        <v>140</v>
      </c>
      <c r="B103" s="56"/>
      <c r="C103" s="158" t="s">
        <v>440</v>
      </c>
      <c r="D103" s="60">
        <v>1.0</v>
      </c>
      <c r="E103" s="66">
        <f t="shared" si="1"/>
        <v>1</v>
      </c>
      <c r="F103" s="68">
        <f t="shared" si="2"/>
        <v>1</v>
      </c>
      <c r="G103" s="68">
        <f t="shared" si="10"/>
        <v>0</v>
      </c>
      <c r="H103" s="72">
        <f t="shared" si="14"/>
        <v>0</v>
      </c>
      <c r="I103" s="73">
        <v>1.0</v>
      </c>
      <c r="J103" s="74"/>
      <c r="K103" s="75">
        <v>0.1</v>
      </c>
      <c r="L103" s="76">
        <v>0.0</v>
      </c>
      <c r="M103" s="79"/>
      <c r="N103" s="82"/>
      <c r="O103" s="85"/>
    </row>
    <row r="104">
      <c r="A104" s="55" t="s">
        <v>140</v>
      </c>
      <c r="B104" s="56"/>
      <c r="C104" s="158" t="s">
        <v>443</v>
      </c>
      <c r="D104" s="60">
        <v>1.0</v>
      </c>
      <c r="E104" s="66">
        <f t="shared" si="1"/>
        <v>-0.089</v>
      </c>
      <c r="F104" s="68">
        <f t="shared" si="2"/>
        <v>-0.089</v>
      </c>
      <c r="G104" s="68">
        <f t="shared" si="10"/>
        <v>1.089</v>
      </c>
      <c r="H104" s="72">
        <v>0.99</v>
      </c>
      <c r="I104" s="73">
        <v>1.0</v>
      </c>
      <c r="J104" s="74"/>
      <c r="K104" s="75">
        <v>0.1</v>
      </c>
      <c r="L104" s="76">
        <v>0.0</v>
      </c>
      <c r="M104" s="79"/>
      <c r="N104" s="82"/>
      <c r="O104" s="85"/>
    </row>
    <row r="105">
      <c r="A105" s="208" t="s">
        <v>140</v>
      </c>
      <c r="B105" s="209"/>
      <c r="C105" s="210" t="s">
        <v>447</v>
      </c>
      <c r="D105" s="211">
        <v>1.0</v>
      </c>
      <c r="E105" s="212">
        <f t="shared" si="1"/>
        <v>1</v>
      </c>
      <c r="F105" s="213">
        <f t="shared" si="2"/>
        <v>1</v>
      </c>
      <c r="G105" s="213">
        <f t="shared" si="10"/>
        <v>0</v>
      </c>
      <c r="H105" s="214">
        <f t="shared" ref="H105:H107" si="15">J105/I105</f>
        <v>0</v>
      </c>
      <c r="I105" s="215">
        <v>1.0</v>
      </c>
      <c r="J105" s="216"/>
      <c r="K105" s="217">
        <v>0.1</v>
      </c>
      <c r="L105" s="218">
        <v>0.0</v>
      </c>
      <c r="M105" s="219"/>
      <c r="N105" s="220"/>
      <c r="O105" s="221"/>
    </row>
    <row r="106">
      <c r="A106" s="56"/>
      <c r="B106" s="222"/>
      <c r="C106" s="58" t="s">
        <v>452</v>
      </c>
      <c r="D106" s="60">
        <v>1.0</v>
      </c>
      <c r="E106" s="66">
        <f t="shared" si="1"/>
        <v>1</v>
      </c>
      <c r="F106" s="68">
        <f t="shared" si="2"/>
        <v>1</v>
      </c>
      <c r="G106" s="68">
        <f t="shared" si="10"/>
        <v>0</v>
      </c>
      <c r="H106" s="72">
        <f t="shared" si="15"/>
        <v>0</v>
      </c>
      <c r="I106" s="73">
        <v>1.0</v>
      </c>
      <c r="J106" s="74"/>
      <c r="K106" s="75">
        <v>0.1</v>
      </c>
      <c r="L106" s="76">
        <v>0.0</v>
      </c>
      <c r="M106" s="79"/>
      <c r="N106" s="82"/>
      <c r="O106" s="85"/>
    </row>
    <row r="107">
      <c r="A107" s="56"/>
      <c r="B107" s="222"/>
      <c r="C107" s="64" t="s">
        <v>455</v>
      </c>
      <c r="D107" s="67">
        <v>1.0</v>
      </c>
      <c r="E107" s="66">
        <f t="shared" si="1"/>
        <v>1</v>
      </c>
      <c r="F107" s="70">
        <f t="shared" si="2"/>
        <v>1</v>
      </c>
      <c r="G107" s="70">
        <f t="shared" si="10"/>
        <v>0</v>
      </c>
      <c r="H107" s="77">
        <f t="shared" si="15"/>
        <v>0</v>
      </c>
      <c r="I107" s="78">
        <v>1.0</v>
      </c>
      <c r="J107" s="80"/>
      <c r="K107" s="84">
        <v>0.1</v>
      </c>
      <c r="L107" s="163">
        <v>0.0</v>
      </c>
      <c r="M107" s="88"/>
      <c r="N107" s="90"/>
      <c r="O107" s="91"/>
    </row>
    <row r="108">
      <c r="A108" s="56"/>
      <c r="B108" s="222"/>
      <c r="C108" s="58" t="s">
        <v>457</v>
      </c>
      <c r="D108" s="60">
        <v>1.0</v>
      </c>
      <c r="E108" s="66">
        <f t="shared" si="1"/>
        <v>-2.3</v>
      </c>
      <c r="F108" s="68">
        <f t="shared" si="2"/>
        <v>-2.3</v>
      </c>
      <c r="G108" s="68">
        <f t="shared" si="10"/>
        <v>3.3</v>
      </c>
      <c r="H108" s="72">
        <v>3.0</v>
      </c>
      <c r="I108" s="73">
        <v>1.0</v>
      </c>
      <c r="J108" s="74"/>
      <c r="K108" s="75">
        <v>0.1</v>
      </c>
      <c r="L108" s="76">
        <v>0.0</v>
      </c>
      <c r="M108" s="79"/>
      <c r="N108" s="82"/>
      <c r="O108" s="85"/>
    </row>
    <row r="109">
      <c r="A109" s="56"/>
      <c r="B109" s="222"/>
      <c r="C109" s="58" t="s">
        <v>460</v>
      </c>
      <c r="D109" s="60">
        <v>1.0</v>
      </c>
      <c r="E109" s="66">
        <f t="shared" si="1"/>
        <v>1</v>
      </c>
      <c r="F109" s="68">
        <f t="shared" si="2"/>
        <v>1</v>
      </c>
      <c r="G109" s="68">
        <f t="shared" si="10"/>
        <v>0</v>
      </c>
      <c r="H109" s="72">
        <f t="shared" ref="H109:H116" si="16">J109/I109</f>
        <v>0</v>
      </c>
      <c r="I109" s="73">
        <v>1.0</v>
      </c>
      <c r="J109" s="74"/>
      <c r="K109" s="75">
        <v>0.1</v>
      </c>
      <c r="L109" s="76">
        <v>0.0</v>
      </c>
      <c r="M109" s="79"/>
      <c r="N109" s="82"/>
      <c r="O109" s="85"/>
    </row>
    <row r="110">
      <c r="A110" s="56"/>
      <c r="B110" s="222"/>
      <c r="C110" s="58" t="s">
        <v>464</v>
      </c>
      <c r="D110" s="60">
        <v>1.0</v>
      </c>
      <c r="E110" s="66">
        <f t="shared" si="1"/>
        <v>1</v>
      </c>
      <c r="F110" s="68">
        <f t="shared" si="2"/>
        <v>1</v>
      </c>
      <c r="G110" s="68">
        <f t="shared" si="10"/>
        <v>0</v>
      </c>
      <c r="H110" s="72">
        <f t="shared" si="16"/>
        <v>0</v>
      </c>
      <c r="I110" s="73">
        <v>1.0</v>
      </c>
      <c r="J110" s="74"/>
      <c r="K110" s="75">
        <v>0.1</v>
      </c>
      <c r="L110" s="76">
        <v>0.0</v>
      </c>
      <c r="M110" s="79"/>
      <c r="N110" s="82"/>
      <c r="O110" s="85"/>
    </row>
    <row r="111">
      <c r="A111" s="56"/>
      <c r="B111" s="222"/>
      <c r="C111" s="58" t="s">
        <v>467</v>
      </c>
      <c r="D111" s="60">
        <v>1.0</v>
      </c>
      <c r="E111" s="66">
        <f t="shared" si="1"/>
        <v>1</v>
      </c>
      <c r="F111" s="68">
        <f t="shared" si="2"/>
        <v>1</v>
      </c>
      <c r="G111" s="68">
        <f t="shared" si="10"/>
        <v>0</v>
      </c>
      <c r="H111" s="72">
        <f t="shared" si="16"/>
        <v>0</v>
      </c>
      <c r="I111" s="73">
        <v>1.0</v>
      </c>
      <c r="J111" s="74"/>
      <c r="K111" s="75">
        <v>0.1</v>
      </c>
      <c r="L111" s="76">
        <v>0.0</v>
      </c>
      <c r="M111" s="79"/>
      <c r="N111" s="82"/>
      <c r="O111" s="85"/>
    </row>
    <row r="112">
      <c r="A112" s="56"/>
      <c r="B112" s="222"/>
      <c r="C112" s="58" t="s">
        <v>470</v>
      </c>
      <c r="D112" s="60">
        <v>1.0</v>
      </c>
      <c r="E112" s="66">
        <f t="shared" si="1"/>
        <v>1</v>
      </c>
      <c r="F112" s="68">
        <f t="shared" si="2"/>
        <v>1</v>
      </c>
      <c r="G112" s="68">
        <f t="shared" si="10"/>
        <v>0</v>
      </c>
      <c r="H112" s="72">
        <f t="shared" si="16"/>
        <v>0</v>
      </c>
      <c r="I112" s="73">
        <v>1.0</v>
      </c>
      <c r="J112" s="74"/>
      <c r="K112" s="75">
        <v>0.1</v>
      </c>
      <c r="L112" s="76">
        <v>0.0</v>
      </c>
      <c r="M112" s="79"/>
      <c r="N112" s="82"/>
      <c r="O112" s="85"/>
    </row>
    <row r="113">
      <c r="A113" s="56"/>
      <c r="B113" s="222"/>
      <c r="C113" s="58" t="s">
        <v>474</v>
      </c>
      <c r="D113" s="60">
        <v>1.0</v>
      </c>
      <c r="E113" s="66">
        <f t="shared" si="1"/>
        <v>1</v>
      </c>
      <c r="F113" s="68">
        <f t="shared" si="2"/>
        <v>1</v>
      </c>
      <c r="G113" s="68">
        <f t="shared" si="10"/>
        <v>0</v>
      </c>
      <c r="H113" s="72">
        <f t="shared" si="16"/>
        <v>0</v>
      </c>
      <c r="I113" s="73">
        <v>1.0</v>
      </c>
      <c r="J113" s="74"/>
      <c r="K113" s="75">
        <v>0.1</v>
      </c>
      <c r="L113" s="76">
        <v>0.0</v>
      </c>
      <c r="M113" s="79"/>
      <c r="N113" s="82"/>
      <c r="O113" s="85"/>
    </row>
    <row r="114">
      <c r="A114" s="59"/>
      <c r="B114" s="223"/>
      <c r="C114" s="114" t="s">
        <v>478</v>
      </c>
      <c r="D114" s="116">
        <v>1.0</v>
      </c>
      <c r="E114" s="69">
        <f t="shared" si="1"/>
        <v>1</v>
      </c>
      <c r="F114" s="117">
        <f t="shared" si="2"/>
        <v>1</v>
      </c>
      <c r="G114" s="117">
        <f t="shared" si="10"/>
        <v>0</v>
      </c>
      <c r="H114" s="118">
        <f t="shared" si="16"/>
        <v>0</v>
      </c>
      <c r="I114" s="119">
        <v>1.0</v>
      </c>
      <c r="J114" s="108"/>
      <c r="K114" s="120">
        <v>0.1</v>
      </c>
      <c r="L114" s="157">
        <v>0.0</v>
      </c>
      <c r="M114" s="122"/>
      <c r="N114" s="123"/>
      <c r="O114" s="125"/>
    </row>
    <row r="115">
      <c r="A115" s="55" t="s">
        <v>481</v>
      </c>
      <c r="B115" s="56"/>
      <c r="C115" s="64" t="s">
        <v>482</v>
      </c>
      <c r="D115" s="67">
        <v>1.0</v>
      </c>
      <c r="E115" s="66">
        <f t="shared" si="1"/>
        <v>1</v>
      </c>
      <c r="F115" s="70">
        <f t="shared" si="2"/>
        <v>1</v>
      </c>
      <c r="G115" s="70">
        <f t="shared" si="10"/>
        <v>0</v>
      </c>
      <c r="H115" s="77">
        <f t="shared" si="16"/>
        <v>0</v>
      </c>
      <c r="I115" s="78">
        <v>1.0</v>
      </c>
      <c r="J115" s="80"/>
      <c r="K115" s="84">
        <v>0.1</v>
      </c>
      <c r="L115" s="163">
        <v>0.0</v>
      </c>
      <c r="M115" s="88"/>
      <c r="N115" s="90"/>
      <c r="O115" s="91"/>
    </row>
    <row r="116">
      <c r="A116" s="55" t="s">
        <v>481</v>
      </c>
      <c r="B116" s="56"/>
      <c r="C116" s="58" t="s">
        <v>435</v>
      </c>
      <c r="D116" s="60">
        <v>1.0</v>
      </c>
      <c r="E116" s="66">
        <f t="shared" si="1"/>
        <v>1</v>
      </c>
      <c r="F116" s="68">
        <f t="shared" si="2"/>
        <v>1</v>
      </c>
      <c r="G116" s="68">
        <f t="shared" si="10"/>
        <v>0</v>
      </c>
      <c r="H116" s="72">
        <f t="shared" si="16"/>
        <v>0</v>
      </c>
      <c r="I116" s="73">
        <v>1.0</v>
      </c>
      <c r="J116" s="74"/>
      <c r="K116" s="75">
        <v>0.1</v>
      </c>
      <c r="L116" s="76">
        <v>0.0</v>
      </c>
      <c r="M116" s="79"/>
      <c r="N116" s="82"/>
      <c r="O116" s="85"/>
    </row>
    <row r="117">
      <c r="A117" s="55" t="s">
        <v>481</v>
      </c>
      <c r="B117" s="56"/>
      <c r="C117" s="58" t="s">
        <v>486</v>
      </c>
      <c r="D117" s="60">
        <v>1.0</v>
      </c>
      <c r="E117" s="66">
        <f t="shared" si="1"/>
        <v>-2.63</v>
      </c>
      <c r="F117" s="68">
        <f t="shared" si="2"/>
        <v>-2.63</v>
      </c>
      <c r="G117" s="68">
        <f t="shared" si="10"/>
        <v>3.63</v>
      </c>
      <c r="H117" s="72">
        <v>3.3</v>
      </c>
      <c r="I117" s="73">
        <v>1.0</v>
      </c>
      <c r="J117" s="74"/>
      <c r="K117" s="75">
        <v>0.1</v>
      </c>
      <c r="L117" s="76">
        <v>0.0</v>
      </c>
      <c r="M117" s="79"/>
      <c r="N117" s="82"/>
      <c r="O117" s="85"/>
    </row>
    <row r="118">
      <c r="A118" s="55" t="s">
        <v>481</v>
      </c>
      <c r="B118" s="56"/>
      <c r="C118" s="58" t="s">
        <v>368</v>
      </c>
      <c r="D118" s="60">
        <v>1.0</v>
      </c>
      <c r="E118" s="66">
        <f t="shared" si="1"/>
        <v>1</v>
      </c>
      <c r="F118" s="68">
        <f t="shared" si="2"/>
        <v>1</v>
      </c>
      <c r="G118" s="68">
        <f t="shared" si="10"/>
        <v>0</v>
      </c>
      <c r="H118" s="72">
        <f t="shared" ref="H118:H122" si="17">J118/I118</f>
        <v>0</v>
      </c>
      <c r="I118" s="73">
        <v>1.0</v>
      </c>
      <c r="J118" s="74"/>
      <c r="K118" s="75">
        <v>0.1</v>
      </c>
      <c r="L118" s="76">
        <v>0.0</v>
      </c>
      <c r="M118" s="79"/>
      <c r="N118" s="82"/>
      <c r="O118" s="85"/>
    </row>
    <row r="119">
      <c r="A119" s="55" t="s">
        <v>481</v>
      </c>
      <c r="B119" s="56"/>
      <c r="C119" s="58" t="s">
        <v>491</v>
      </c>
      <c r="D119" s="60">
        <v>1.0</v>
      </c>
      <c r="E119" s="66">
        <f t="shared" si="1"/>
        <v>1</v>
      </c>
      <c r="F119" s="68">
        <f t="shared" si="2"/>
        <v>1</v>
      </c>
      <c r="G119" s="68">
        <f t="shared" si="10"/>
        <v>0</v>
      </c>
      <c r="H119" s="72">
        <f t="shared" si="17"/>
        <v>0</v>
      </c>
      <c r="I119" s="73">
        <v>1.0</v>
      </c>
      <c r="J119" s="74"/>
      <c r="K119" s="75">
        <v>0.1</v>
      </c>
      <c r="L119" s="76">
        <v>0.0</v>
      </c>
      <c r="M119" s="79"/>
      <c r="N119" s="82"/>
      <c r="O119" s="85"/>
    </row>
    <row r="120">
      <c r="A120" s="55" t="s">
        <v>481</v>
      </c>
      <c r="B120" s="56"/>
      <c r="C120" s="58" t="s">
        <v>493</v>
      </c>
      <c r="D120" s="60">
        <v>1.0</v>
      </c>
      <c r="E120" s="66">
        <f t="shared" si="1"/>
        <v>1</v>
      </c>
      <c r="F120" s="68">
        <f t="shared" si="2"/>
        <v>1</v>
      </c>
      <c r="G120" s="68">
        <f t="shared" si="10"/>
        <v>0</v>
      </c>
      <c r="H120" s="72">
        <f t="shared" si="17"/>
        <v>0</v>
      </c>
      <c r="I120" s="73">
        <v>1.0</v>
      </c>
      <c r="J120" s="74"/>
      <c r="K120" s="75">
        <v>0.1</v>
      </c>
      <c r="L120" s="76">
        <v>0.0</v>
      </c>
      <c r="M120" s="79"/>
      <c r="N120" s="82"/>
      <c r="O120" s="85"/>
    </row>
    <row r="121">
      <c r="A121" s="55" t="s">
        <v>481</v>
      </c>
      <c r="B121" s="56"/>
      <c r="C121" s="58" t="s">
        <v>497</v>
      </c>
      <c r="D121" s="60">
        <v>1.0</v>
      </c>
      <c r="E121" s="66">
        <f t="shared" si="1"/>
        <v>1</v>
      </c>
      <c r="F121" s="68">
        <f t="shared" si="2"/>
        <v>1</v>
      </c>
      <c r="G121" s="68">
        <f t="shared" si="10"/>
        <v>0</v>
      </c>
      <c r="H121" s="72">
        <f t="shared" si="17"/>
        <v>0</v>
      </c>
      <c r="I121" s="73">
        <v>1.0</v>
      </c>
      <c r="J121" s="74"/>
      <c r="K121" s="75">
        <v>0.1</v>
      </c>
      <c r="L121" s="76">
        <v>0.0</v>
      </c>
      <c r="M121" s="79"/>
      <c r="N121" s="82"/>
      <c r="O121" s="85"/>
    </row>
    <row r="122">
      <c r="A122" s="57" t="s">
        <v>481</v>
      </c>
      <c r="B122" s="59"/>
      <c r="C122" s="114" t="s">
        <v>498</v>
      </c>
      <c r="D122" s="116">
        <v>1.0</v>
      </c>
      <c r="E122" s="69">
        <f t="shared" si="1"/>
        <v>1</v>
      </c>
      <c r="F122" s="117">
        <f t="shared" si="2"/>
        <v>1</v>
      </c>
      <c r="G122" s="117">
        <f t="shared" si="10"/>
        <v>0</v>
      </c>
      <c r="H122" s="118">
        <f t="shared" si="17"/>
        <v>0</v>
      </c>
      <c r="I122" s="119">
        <v>1.0</v>
      </c>
      <c r="J122" s="108"/>
      <c r="K122" s="120">
        <v>0.1</v>
      </c>
      <c r="L122" s="157">
        <v>0.0</v>
      </c>
      <c r="M122" s="122"/>
      <c r="N122" s="123"/>
      <c r="O122" s="125"/>
    </row>
    <row r="123">
      <c r="A123" s="55" t="s">
        <v>501</v>
      </c>
      <c r="B123" s="56"/>
      <c r="C123" s="58" t="s">
        <v>502</v>
      </c>
      <c r="D123" s="60">
        <v>19.0</v>
      </c>
      <c r="E123" s="98">
        <f t="shared" si="1"/>
        <v>0.03431578947</v>
      </c>
      <c r="F123" s="68">
        <f t="shared" si="2"/>
        <v>0.652</v>
      </c>
      <c r="G123" s="68">
        <f t="shared" si="10"/>
        <v>18.348</v>
      </c>
      <c r="H123" s="72">
        <v>16.68</v>
      </c>
      <c r="I123" s="73">
        <v>12.0</v>
      </c>
      <c r="J123" s="74"/>
      <c r="K123" s="75">
        <v>0.1</v>
      </c>
      <c r="L123" s="76">
        <v>0.0</v>
      </c>
      <c r="M123" s="79" t="s">
        <v>86</v>
      </c>
      <c r="N123" s="82"/>
      <c r="O123" s="85"/>
    </row>
    <row r="124">
      <c r="A124" s="55" t="s">
        <v>501</v>
      </c>
      <c r="B124" s="56"/>
      <c r="C124" s="58" t="s">
        <v>504</v>
      </c>
      <c r="D124" s="60">
        <v>35.0</v>
      </c>
      <c r="E124" s="98">
        <f t="shared" si="1"/>
        <v>0.004402285714</v>
      </c>
      <c r="F124" s="68">
        <f t="shared" si="2"/>
        <v>0.15408</v>
      </c>
      <c r="G124" s="68">
        <f t="shared" si="10"/>
        <v>34.84592</v>
      </c>
      <c r="H124" s="72">
        <v>31.28</v>
      </c>
      <c r="I124" s="73">
        <v>5.0</v>
      </c>
      <c r="J124" s="74"/>
      <c r="K124" s="75">
        <v>0.1</v>
      </c>
      <c r="L124" s="127">
        <v>0.014</v>
      </c>
      <c r="M124" s="79" t="s">
        <v>411</v>
      </c>
      <c r="N124" s="82"/>
      <c r="O124" s="85" t="s">
        <v>506</v>
      </c>
    </row>
    <row r="125">
      <c r="A125" s="55" t="s">
        <v>501</v>
      </c>
      <c r="B125" s="56"/>
      <c r="C125" s="64" t="s">
        <v>507</v>
      </c>
      <c r="D125" s="67">
        <v>24.0</v>
      </c>
      <c r="E125" s="66">
        <f t="shared" si="1"/>
        <v>0.03685416667</v>
      </c>
      <c r="F125" s="70">
        <f t="shared" si="2"/>
        <v>0.8845</v>
      </c>
      <c r="G125" s="70">
        <f t="shared" si="10"/>
        <v>23.1155</v>
      </c>
      <c r="H125" s="77">
        <v>20.75</v>
      </c>
      <c r="I125" s="78">
        <v>5.0</v>
      </c>
      <c r="J125" s="80"/>
      <c r="K125" s="84">
        <v>0.1</v>
      </c>
      <c r="L125" s="87">
        <v>0.014</v>
      </c>
      <c r="M125" s="88" t="s">
        <v>411</v>
      </c>
      <c r="N125" s="90"/>
      <c r="O125" s="91" t="s">
        <v>511</v>
      </c>
    </row>
    <row r="126">
      <c r="A126" s="55" t="s">
        <v>501</v>
      </c>
      <c r="B126" s="56"/>
      <c r="C126" s="64" t="s">
        <v>512</v>
      </c>
      <c r="D126" s="67">
        <v>1.0</v>
      </c>
      <c r="E126" s="66">
        <f t="shared" si="1"/>
        <v>1</v>
      </c>
      <c r="F126" s="70">
        <f t="shared" si="2"/>
        <v>1</v>
      </c>
      <c r="G126" s="70">
        <f t="shared" si="10"/>
        <v>0</v>
      </c>
      <c r="H126" s="77">
        <f>J126/I126</f>
        <v>0</v>
      </c>
      <c r="I126" s="78">
        <v>1.0</v>
      </c>
      <c r="J126" s="80"/>
      <c r="K126" s="84">
        <v>0.1</v>
      </c>
      <c r="L126" s="163">
        <v>0.0</v>
      </c>
      <c r="M126" s="88"/>
      <c r="N126" s="90"/>
      <c r="O126" s="91"/>
    </row>
    <row r="127">
      <c r="A127" s="55" t="s">
        <v>501</v>
      </c>
      <c r="B127" s="56"/>
      <c r="C127" s="64" t="s">
        <v>514</v>
      </c>
      <c r="D127" s="67">
        <v>1.0</v>
      </c>
      <c r="E127" s="66">
        <f t="shared" si="1"/>
        <v>-1.4192</v>
      </c>
      <c r="F127" s="70">
        <f t="shared" si="2"/>
        <v>-1.4192</v>
      </c>
      <c r="G127" s="70">
        <f t="shared" si="10"/>
        <v>2.4192</v>
      </c>
      <c r="H127" s="77">
        <v>2.1</v>
      </c>
      <c r="I127" s="78">
        <v>3.0</v>
      </c>
      <c r="J127" s="80"/>
      <c r="K127" s="84">
        <v>0.1</v>
      </c>
      <c r="L127" s="87">
        <v>0.052</v>
      </c>
      <c r="M127" s="88" t="s">
        <v>152</v>
      </c>
      <c r="N127" s="90"/>
      <c r="O127" s="91"/>
    </row>
    <row r="128">
      <c r="A128" s="55" t="s">
        <v>501</v>
      </c>
      <c r="B128" s="56"/>
      <c r="C128" s="64" t="s">
        <v>516</v>
      </c>
      <c r="D128" s="67">
        <v>3.0</v>
      </c>
      <c r="E128" s="66">
        <f t="shared" si="1"/>
        <v>0.1744</v>
      </c>
      <c r="F128" s="70">
        <f t="shared" si="2"/>
        <v>0.5232</v>
      </c>
      <c r="G128" s="70">
        <f t="shared" si="10"/>
        <v>2.4768</v>
      </c>
      <c r="H128" s="77">
        <v>2.15</v>
      </c>
      <c r="I128" s="78">
        <v>1.0</v>
      </c>
      <c r="J128" s="80"/>
      <c r="K128" s="84">
        <v>0.1</v>
      </c>
      <c r="L128" s="87">
        <v>0.052</v>
      </c>
      <c r="M128" s="88" t="s">
        <v>152</v>
      </c>
      <c r="N128" s="90"/>
      <c r="O128" s="91"/>
    </row>
    <row r="129">
      <c r="A129" s="55" t="s">
        <v>501</v>
      </c>
      <c r="B129" s="56"/>
      <c r="C129" s="64" t="s">
        <v>517</v>
      </c>
      <c r="D129" s="67">
        <v>1.0</v>
      </c>
      <c r="E129" s="66">
        <f t="shared" si="1"/>
        <v>1</v>
      </c>
      <c r="F129" s="70">
        <f t="shared" si="2"/>
        <v>1</v>
      </c>
      <c r="G129" s="70">
        <f t="shared" si="10"/>
        <v>0</v>
      </c>
      <c r="H129" s="77">
        <f>J129/I129</f>
        <v>0</v>
      </c>
      <c r="I129" s="78">
        <v>1.0</v>
      </c>
      <c r="J129" s="80"/>
      <c r="K129" s="84">
        <v>0.1</v>
      </c>
      <c r="L129" s="163">
        <v>0.0</v>
      </c>
      <c r="M129" s="88"/>
      <c r="N129" s="90"/>
      <c r="O129" s="91"/>
    </row>
    <row r="130">
      <c r="A130" s="55" t="s">
        <v>501</v>
      </c>
      <c r="B130" s="56"/>
      <c r="C130" s="64" t="s">
        <v>520</v>
      </c>
      <c r="D130" s="67">
        <v>1.0</v>
      </c>
      <c r="E130" s="66">
        <f t="shared" si="1"/>
        <v>-2.839</v>
      </c>
      <c r="F130" s="70">
        <f t="shared" si="2"/>
        <v>-2.839</v>
      </c>
      <c r="G130" s="70">
        <f t="shared" si="10"/>
        <v>3.839</v>
      </c>
      <c r="H130" s="77">
        <v>3.49</v>
      </c>
      <c r="I130" s="78">
        <v>1.0</v>
      </c>
      <c r="J130" s="80"/>
      <c r="K130" s="84">
        <v>0.1</v>
      </c>
      <c r="L130" s="163">
        <v>0.0</v>
      </c>
      <c r="M130" s="88" t="s">
        <v>152</v>
      </c>
      <c r="N130" s="90"/>
      <c r="O130" s="91"/>
    </row>
    <row r="131">
      <c r="A131" s="55" t="s">
        <v>501</v>
      </c>
      <c r="B131" s="56"/>
      <c r="C131" s="58" t="s">
        <v>522</v>
      </c>
      <c r="D131" s="60">
        <v>1.0</v>
      </c>
      <c r="E131" s="98">
        <f t="shared" si="1"/>
        <v>1</v>
      </c>
      <c r="F131" s="68">
        <f t="shared" si="2"/>
        <v>1</v>
      </c>
      <c r="G131" s="68">
        <f t="shared" si="10"/>
        <v>0</v>
      </c>
      <c r="H131" s="72">
        <f>J131/I131</f>
        <v>0</v>
      </c>
      <c r="I131" s="73">
        <v>1.0</v>
      </c>
      <c r="J131" s="74"/>
      <c r="K131" s="75">
        <v>0.1</v>
      </c>
      <c r="L131" s="76">
        <v>0.0</v>
      </c>
      <c r="M131" s="79"/>
      <c r="N131" s="82"/>
      <c r="O131" s="85"/>
    </row>
    <row r="132">
      <c r="A132" s="55" t="s">
        <v>501</v>
      </c>
      <c r="B132" s="56"/>
      <c r="C132" s="58" t="s">
        <v>525</v>
      </c>
      <c r="D132" s="60">
        <v>1.0</v>
      </c>
      <c r="E132" s="98">
        <f t="shared" si="1"/>
        <v>-1.541</v>
      </c>
      <c r="F132" s="68">
        <f t="shared" si="2"/>
        <v>-1.541</v>
      </c>
      <c r="G132" s="68">
        <f t="shared" si="10"/>
        <v>2.541</v>
      </c>
      <c r="H132" s="72">
        <v>2.31</v>
      </c>
      <c r="I132" s="73">
        <v>3.0</v>
      </c>
      <c r="J132" s="74"/>
      <c r="K132" s="75">
        <v>0.1</v>
      </c>
      <c r="L132" s="76">
        <v>0.0</v>
      </c>
      <c r="M132" s="79" t="s">
        <v>152</v>
      </c>
      <c r="N132" s="82"/>
      <c r="O132" s="85"/>
    </row>
    <row r="133">
      <c r="A133" s="55" t="s">
        <v>501</v>
      </c>
      <c r="B133" s="56"/>
      <c r="C133" s="64" t="s">
        <v>526</v>
      </c>
      <c r="D133" s="67">
        <v>1.0</v>
      </c>
      <c r="E133" s="66">
        <f t="shared" si="1"/>
        <v>1</v>
      </c>
      <c r="F133" s="70">
        <f t="shared" si="2"/>
        <v>1</v>
      </c>
      <c r="G133" s="70">
        <f t="shared" si="10"/>
        <v>0</v>
      </c>
      <c r="H133" s="77">
        <f t="shared" ref="H133:H135" si="18">J133/I133</f>
        <v>0</v>
      </c>
      <c r="I133" s="78">
        <v>1.0</v>
      </c>
      <c r="J133" s="80"/>
      <c r="K133" s="84">
        <v>0.1</v>
      </c>
      <c r="L133" s="163">
        <v>0.0</v>
      </c>
      <c r="M133" s="88"/>
      <c r="N133" s="90"/>
      <c r="O133" s="91"/>
    </row>
    <row r="134">
      <c r="A134" s="55" t="s">
        <v>501</v>
      </c>
      <c r="B134" s="56"/>
      <c r="C134" s="64" t="s">
        <v>527</v>
      </c>
      <c r="D134" s="67">
        <v>1.0</v>
      </c>
      <c r="E134" s="66">
        <f t="shared" si="1"/>
        <v>1</v>
      </c>
      <c r="F134" s="70">
        <f t="shared" si="2"/>
        <v>1</v>
      </c>
      <c r="G134" s="70">
        <f t="shared" si="10"/>
        <v>0</v>
      </c>
      <c r="H134" s="77">
        <f t="shared" si="18"/>
        <v>0</v>
      </c>
      <c r="I134" s="78">
        <v>1.0</v>
      </c>
      <c r="J134" s="80"/>
      <c r="K134" s="84">
        <v>0.1</v>
      </c>
      <c r="L134" s="163">
        <v>0.0</v>
      </c>
      <c r="M134" s="88"/>
      <c r="N134" s="90"/>
      <c r="O134" s="91"/>
    </row>
    <row r="135">
      <c r="A135" s="55" t="s">
        <v>501</v>
      </c>
      <c r="B135" s="56"/>
      <c r="C135" s="64" t="s">
        <v>531</v>
      </c>
      <c r="D135" s="67">
        <v>1.0</v>
      </c>
      <c r="E135" s="66">
        <f t="shared" si="1"/>
        <v>1</v>
      </c>
      <c r="F135" s="70">
        <f t="shared" si="2"/>
        <v>1</v>
      </c>
      <c r="G135" s="70">
        <f t="shared" si="10"/>
        <v>0</v>
      </c>
      <c r="H135" s="77">
        <f t="shared" si="18"/>
        <v>0</v>
      </c>
      <c r="I135" s="78">
        <v>1.0</v>
      </c>
      <c r="J135" s="80"/>
      <c r="K135" s="84">
        <v>0.1</v>
      </c>
      <c r="L135" s="163">
        <v>0.0</v>
      </c>
      <c r="M135" s="88"/>
      <c r="N135" s="90"/>
      <c r="O135" s="91"/>
    </row>
    <row r="136">
      <c r="A136" s="55" t="s">
        <v>501</v>
      </c>
      <c r="B136" s="56"/>
      <c r="C136" s="64" t="s">
        <v>533</v>
      </c>
      <c r="D136" s="67">
        <v>1.0</v>
      </c>
      <c r="E136" s="66">
        <f t="shared" si="1"/>
        <v>-13.15808</v>
      </c>
      <c r="F136" s="70">
        <f t="shared" si="2"/>
        <v>-13.15808</v>
      </c>
      <c r="G136" s="70">
        <f t="shared" si="10"/>
        <v>14.15808</v>
      </c>
      <c r="H136" s="77">
        <v>12.29</v>
      </c>
      <c r="I136" s="78">
        <v>1.0</v>
      </c>
      <c r="J136" s="80"/>
      <c r="K136" s="84">
        <v>0.1</v>
      </c>
      <c r="L136" s="87">
        <v>0.052</v>
      </c>
      <c r="M136" s="88" t="s">
        <v>152</v>
      </c>
      <c r="N136" s="90"/>
      <c r="O136" s="91"/>
    </row>
    <row r="137">
      <c r="A137" s="55" t="s">
        <v>501</v>
      </c>
      <c r="B137" s="56"/>
      <c r="C137" s="64" t="s">
        <v>534</v>
      </c>
      <c r="D137" s="67">
        <v>1.0</v>
      </c>
      <c r="E137" s="66">
        <f t="shared" si="1"/>
        <v>1</v>
      </c>
      <c r="F137" s="70">
        <f t="shared" si="2"/>
        <v>1</v>
      </c>
      <c r="G137" s="70">
        <f t="shared" si="10"/>
        <v>0</v>
      </c>
      <c r="H137" s="77">
        <f t="shared" ref="H137:H138" si="19">J137/I137</f>
        <v>0</v>
      </c>
      <c r="I137" s="78">
        <v>1.0</v>
      </c>
      <c r="J137" s="80"/>
      <c r="K137" s="84">
        <v>0.1</v>
      </c>
      <c r="L137" s="163">
        <v>0.0</v>
      </c>
      <c r="M137" s="88"/>
      <c r="N137" s="90"/>
      <c r="O137" s="91"/>
    </row>
    <row r="138">
      <c r="A138" s="55" t="s">
        <v>501</v>
      </c>
      <c r="B138" s="56"/>
      <c r="C138" s="58" t="s">
        <v>536</v>
      </c>
      <c r="D138" s="60">
        <v>1.0</v>
      </c>
      <c r="E138" s="66">
        <f t="shared" si="1"/>
        <v>1</v>
      </c>
      <c r="F138" s="68">
        <f t="shared" si="2"/>
        <v>1</v>
      </c>
      <c r="G138" s="68">
        <f t="shared" si="10"/>
        <v>0</v>
      </c>
      <c r="H138" s="72">
        <f t="shared" si="19"/>
        <v>0</v>
      </c>
      <c r="I138" s="73">
        <v>1.0</v>
      </c>
      <c r="J138" s="74"/>
      <c r="K138" s="75">
        <v>0.1</v>
      </c>
      <c r="L138" s="76">
        <v>0.0</v>
      </c>
      <c r="M138" s="79"/>
      <c r="N138" s="82"/>
      <c r="O138" s="85"/>
    </row>
    <row r="139">
      <c r="A139" s="160" t="s">
        <v>501</v>
      </c>
      <c r="B139" s="180"/>
      <c r="C139" s="162" t="s">
        <v>538</v>
      </c>
      <c r="D139" s="234">
        <v>3.0</v>
      </c>
      <c r="E139" s="235">
        <f t="shared" si="1"/>
        <v>0.02833333333</v>
      </c>
      <c r="F139" s="166">
        <f t="shared" si="2"/>
        <v>0.085</v>
      </c>
      <c r="G139" s="166">
        <f t="shared" si="10"/>
        <v>2.915</v>
      </c>
      <c r="H139" s="236">
        <v>2.65</v>
      </c>
      <c r="I139" s="168">
        <v>1.0</v>
      </c>
      <c r="J139" s="169"/>
      <c r="K139" s="170">
        <v>0.1</v>
      </c>
      <c r="L139" s="171">
        <v>0.0</v>
      </c>
      <c r="M139" s="206" t="s">
        <v>152</v>
      </c>
      <c r="N139" s="82"/>
      <c r="O139" s="237" t="s">
        <v>541</v>
      </c>
    </row>
    <row r="140">
      <c r="A140" s="55" t="s">
        <v>501</v>
      </c>
      <c r="B140" s="56"/>
      <c r="C140" s="58" t="s">
        <v>490</v>
      </c>
      <c r="D140" s="60">
        <v>6.0</v>
      </c>
      <c r="E140" s="66">
        <f t="shared" si="1"/>
        <v>0.0008333333333</v>
      </c>
      <c r="F140" s="68">
        <f t="shared" si="2"/>
        <v>0.005</v>
      </c>
      <c r="G140" s="68">
        <f t="shared" si="10"/>
        <v>5.995</v>
      </c>
      <c r="H140" s="72">
        <v>5.45</v>
      </c>
      <c r="I140" s="73">
        <v>1.0</v>
      </c>
      <c r="J140" s="74"/>
      <c r="K140" s="75">
        <v>0.1</v>
      </c>
      <c r="L140" s="76">
        <v>0.0</v>
      </c>
      <c r="M140" s="79" t="s">
        <v>86</v>
      </c>
      <c r="N140" s="82"/>
      <c r="O140" s="85" t="s">
        <v>542</v>
      </c>
    </row>
    <row r="141">
      <c r="A141" s="55" t="s">
        <v>501</v>
      </c>
      <c r="B141" s="56"/>
      <c r="C141" s="58" t="s">
        <v>543</v>
      </c>
      <c r="D141" s="60">
        <v>4.0</v>
      </c>
      <c r="E141" s="66">
        <f t="shared" si="1"/>
        <v>0.09568</v>
      </c>
      <c r="F141" s="68">
        <f t="shared" si="2"/>
        <v>0.38272</v>
      </c>
      <c r="G141" s="68">
        <f t="shared" si="10"/>
        <v>3.61728</v>
      </c>
      <c r="H141" s="72">
        <v>3.14</v>
      </c>
      <c r="I141" s="73">
        <v>1.0</v>
      </c>
      <c r="J141" s="74"/>
      <c r="K141" s="75">
        <v>0.1</v>
      </c>
      <c r="L141" s="127">
        <v>0.052</v>
      </c>
      <c r="M141" s="79" t="s">
        <v>152</v>
      </c>
      <c r="N141" s="82"/>
      <c r="O141" s="85"/>
    </row>
    <row r="142">
      <c r="A142" s="55" t="s">
        <v>501</v>
      </c>
      <c r="B142" s="56"/>
      <c r="C142" s="58" t="s">
        <v>544</v>
      </c>
      <c r="D142" s="60">
        <v>1.0</v>
      </c>
      <c r="E142" s="66">
        <f t="shared" si="1"/>
        <v>1</v>
      </c>
      <c r="F142" s="68">
        <f t="shared" si="2"/>
        <v>1</v>
      </c>
      <c r="G142" s="68">
        <f t="shared" si="10"/>
        <v>0</v>
      </c>
      <c r="H142" s="72">
        <f t="shared" ref="H142:H149" si="20">J142/I142</f>
        <v>0</v>
      </c>
      <c r="I142" s="73">
        <v>1.0</v>
      </c>
      <c r="J142" s="74"/>
      <c r="K142" s="75">
        <v>0.1</v>
      </c>
      <c r="L142" s="76">
        <v>0.0</v>
      </c>
      <c r="M142" s="79"/>
      <c r="N142" s="82"/>
      <c r="O142" s="85"/>
    </row>
    <row r="143">
      <c r="A143" s="55" t="s">
        <v>501</v>
      </c>
      <c r="B143" s="56"/>
      <c r="C143" s="58" t="s">
        <v>547</v>
      </c>
      <c r="D143" s="60">
        <v>1.0</v>
      </c>
      <c r="E143" s="66">
        <f t="shared" si="1"/>
        <v>1</v>
      </c>
      <c r="F143" s="68">
        <f t="shared" si="2"/>
        <v>1</v>
      </c>
      <c r="G143" s="68">
        <f t="shared" si="10"/>
        <v>0</v>
      </c>
      <c r="H143" s="72">
        <f t="shared" si="20"/>
        <v>0</v>
      </c>
      <c r="I143" s="73">
        <v>1.0</v>
      </c>
      <c r="J143" s="74"/>
      <c r="K143" s="75">
        <v>0.1</v>
      </c>
      <c r="L143" s="76">
        <v>0.0</v>
      </c>
      <c r="M143" s="79"/>
      <c r="N143" s="82"/>
      <c r="O143" s="85"/>
    </row>
    <row r="144">
      <c r="A144" s="55" t="s">
        <v>501</v>
      </c>
      <c r="B144" s="56"/>
      <c r="C144" s="58" t="s">
        <v>548</v>
      </c>
      <c r="D144" s="60">
        <v>1.0</v>
      </c>
      <c r="E144" s="66">
        <f t="shared" si="1"/>
        <v>1</v>
      </c>
      <c r="F144" s="68">
        <f t="shared" si="2"/>
        <v>1</v>
      </c>
      <c r="G144" s="68">
        <f t="shared" si="10"/>
        <v>0</v>
      </c>
      <c r="H144" s="72">
        <f t="shared" si="20"/>
        <v>0</v>
      </c>
      <c r="I144" s="73">
        <v>1.0</v>
      </c>
      <c r="J144" s="74"/>
      <c r="K144" s="75">
        <v>0.1</v>
      </c>
      <c r="L144" s="76">
        <v>0.0</v>
      </c>
      <c r="M144" s="79"/>
      <c r="N144" s="82"/>
      <c r="O144" s="85"/>
    </row>
    <row r="145">
      <c r="A145" s="55" t="s">
        <v>501</v>
      </c>
      <c r="B145" s="56"/>
      <c r="C145" s="58" t="s">
        <v>552</v>
      </c>
      <c r="D145" s="60">
        <v>1.0</v>
      </c>
      <c r="E145" s="66">
        <f t="shared" si="1"/>
        <v>1</v>
      </c>
      <c r="F145" s="68">
        <f t="shared" si="2"/>
        <v>1</v>
      </c>
      <c r="G145" s="68">
        <f t="shared" si="10"/>
        <v>0</v>
      </c>
      <c r="H145" s="72">
        <f t="shared" si="20"/>
        <v>0</v>
      </c>
      <c r="I145" s="73">
        <v>1.0</v>
      </c>
      <c r="J145" s="74"/>
      <c r="K145" s="75">
        <v>0.1</v>
      </c>
      <c r="L145" s="76">
        <v>0.0</v>
      </c>
      <c r="M145" s="79"/>
      <c r="N145" s="82"/>
      <c r="O145" s="85"/>
    </row>
    <row r="146">
      <c r="A146" s="55" t="s">
        <v>501</v>
      </c>
      <c r="B146" s="56"/>
      <c r="C146" s="58" t="s">
        <v>554</v>
      </c>
      <c r="D146" s="60">
        <v>1.0</v>
      </c>
      <c r="E146" s="66">
        <f t="shared" si="1"/>
        <v>1</v>
      </c>
      <c r="F146" s="68">
        <f t="shared" si="2"/>
        <v>1</v>
      </c>
      <c r="G146" s="68">
        <f t="shared" si="10"/>
        <v>0</v>
      </c>
      <c r="H146" s="72">
        <f t="shared" si="20"/>
        <v>0</v>
      </c>
      <c r="I146" s="73">
        <v>1.0</v>
      </c>
      <c r="J146" s="74"/>
      <c r="K146" s="75">
        <v>0.1</v>
      </c>
      <c r="L146" s="76">
        <v>0.0</v>
      </c>
      <c r="M146" s="79"/>
      <c r="N146" s="82"/>
      <c r="O146" s="85"/>
    </row>
    <row r="147" hidden="1" outlineLevel="1">
      <c r="A147" s="55" t="s">
        <v>501</v>
      </c>
      <c r="B147" s="56" t="s">
        <v>549</v>
      </c>
      <c r="C147" s="58" t="s">
        <v>556</v>
      </c>
      <c r="D147" s="60">
        <v>3.0</v>
      </c>
      <c r="E147" s="66">
        <f t="shared" si="1"/>
        <v>1</v>
      </c>
      <c r="F147" s="68">
        <f t="shared" si="2"/>
        <v>3</v>
      </c>
      <c r="G147" s="68">
        <f t="shared" si="10"/>
        <v>0</v>
      </c>
      <c r="H147" s="72">
        <f t="shared" si="20"/>
        <v>0</v>
      </c>
      <c r="I147" s="73">
        <v>1.0</v>
      </c>
      <c r="J147" s="74"/>
      <c r="K147" s="75">
        <v>0.1</v>
      </c>
      <c r="L147" s="76">
        <v>0.0</v>
      </c>
      <c r="M147" s="79"/>
      <c r="N147" s="82"/>
      <c r="O147" s="85" t="s">
        <v>558</v>
      </c>
    </row>
    <row r="148" hidden="1" outlineLevel="1">
      <c r="A148" s="55" t="s">
        <v>501</v>
      </c>
      <c r="B148" s="56" t="s">
        <v>549</v>
      </c>
      <c r="C148" s="58" t="s">
        <v>559</v>
      </c>
      <c r="D148" s="60">
        <v>3.0</v>
      </c>
      <c r="E148" s="66">
        <f t="shared" si="1"/>
        <v>1</v>
      </c>
      <c r="F148" s="68">
        <f t="shared" si="2"/>
        <v>3</v>
      </c>
      <c r="G148" s="68">
        <f t="shared" si="10"/>
        <v>0</v>
      </c>
      <c r="H148" s="72">
        <f t="shared" si="20"/>
        <v>0</v>
      </c>
      <c r="I148" s="73">
        <v>1.0</v>
      </c>
      <c r="J148" s="74"/>
      <c r="K148" s="75">
        <v>0.1</v>
      </c>
      <c r="L148" s="76">
        <v>0.0</v>
      </c>
      <c r="M148" s="79"/>
      <c r="N148" s="82"/>
      <c r="O148" s="85" t="s">
        <v>558</v>
      </c>
    </row>
    <row r="149" collapsed="1">
      <c r="A149" s="55" t="s">
        <v>501</v>
      </c>
      <c r="B149" s="56"/>
      <c r="C149" s="58" t="s">
        <v>562</v>
      </c>
      <c r="D149" s="60">
        <v>1.0</v>
      </c>
      <c r="E149" s="66">
        <f t="shared" si="1"/>
        <v>1</v>
      </c>
      <c r="F149" s="68">
        <f t="shared" si="2"/>
        <v>1</v>
      </c>
      <c r="G149" s="68">
        <f t="shared" si="10"/>
        <v>0</v>
      </c>
      <c r="H149" s="72">
        <f t="shared" si="20"/>
        <v>0</v>
      </c>
      <c r="I149" s="73">
        <v>1.0</v>
      </c>
      <c r="J149" s="74"/>
      <c r="K149" s="75">
        <v>0.1</v>
      </c>
      <c r="L149" s="76">
        <v>0.0</v>
      </c>
      <c r="M149" s="79"/>
      <c r="N149" s="82"/>
      <c r="O149" s="85"/>
    </row>
    <row r="150">
      <c r="A150" s="55" t="s">
        <v>501</v>
      </c>
      <c r="B150" s="56"/>
      <c r="C150" s="58" t="s">
        <v>564</v>
      </c>
      <c r="D150" s="60">
        <v>1.0</v>
      </c>
      <c r="E150" s="66">
        <f t="shared" si="1"/>
        <v>-4.2992</v>
      </c>
      <c r="F150" s="68">
        <f t="shared" si="2"/>
        <v>-4.2992</v>
      </c>
      <c r="G150" s="68">
        <f t="shared" si="10"/>
        <v>5.2992</v>
      </c>
      <c r="H150" s="72">
        <v>4.6</v>
      </c>
      <c r="I150" s="73">
        <v>1.0</v>
      </c>
      <c r="J150" s="74"/>
      <c r="K150" s="75">
        <v>0.1</v>
      </c>
      <c r="L150" s="127">
        <v>0.052</v>
      </c>
      <c r="M150" s="79" t="s">
        <v>152</v>
      </c>
      <c r="N150" s="82"/>
      <c r="O150" s="85"/>
    </row>
    <row r="151">
      <c r="A151" s="55" t="s">
        <v>501</v>
      </c>
      <c r="B151" s="56"/>
      <c r="C151" s="58" t="s">
        <v>567</v>
      </c>
      <c r="D151" s="60">
        <v>1.0</v>
      </c>
      <c r="E151" s="66">
        <f t="shared" si="1"/>
        <v>1</v>
      </c>
      <c r="F151" s="68">
        <f t="shared" si="2"/>
        <v>1</v>
      </c>
      <c r="G151" s="68">
        <f t="shared" si="10"/>
        <v>0</v>
      </c>
      <c r="H151" s="72">
        <f t="shared" ref="H151:H153" si="21">J151/I151</f>
        <v>0</v>
      </c>
      <c r="I151" s="73">
        <v>1.0</v>
      </c>
      <c r="J151" s="74"/>
      <c r="K151" s="75">
        <v>0.1</v>
      </c>
      <c r="L151" s="76">
        <v>0.0</v>
      </c>
      <c r="M151" s="79"/>
      <c r="N151" s="82"/>
      <c r="O151" s="85"/>
    </row>
    <row r="152">
      <c r="A152" s="55" t="s">
        <v>501</v>
      </c>
      <c r="B152" s="56"/>
      <c r="C152" s="58" t="s">
        <v>570</v>
      </c>
      <c r="D152" s="60">
        <v>1.0</v>
      </c>
      <c r="E152" s="66">
        <f t="shared" si="1"/>
        <v>1</v>
      </c>
      <c r="F152" s="68">
        <f t="shared" si="2"/>
        <v>1</v>
      </c>
      <c r="G152" s="68">
        <f t="shared" si="10"/>
        <v>0</v>
      </c>
      <c r="H152" s="72">
        <f t="shared" si="21"/>
        <v>0</v>
      </c>
      <c r="I152" s="73">
        <v>1.0</v>
      </c>
      <c r="J152" s="74"/>
      <c r="K152" s="75">
        <v>0.1</v>
      </c>
      <c r="L152" s="76">
        <v>0.0</v>
      </c>
      <c r="M152" s="79"/>
      <c r="N152" s="82"/>
      <c r="O152" s="85"/>
    </row>
    <row r="153">
      <c r="A153" s="55" t="s">
        <v>501</v>
      </c>
      <c r="B153" s="56"/>
      <c r="C153" s="58" t="s">
        <v>571</v>
      </c>
      <c r="D153" s="60">
        <v>1.0</v>
      </c>
      <c r="E153" s="66">
        <f t="shared" si="1"/>
        <v>1</v>
      </c>
      <c r="F153" s="68">
        <f t="shared" si="2"/>
        <v>1</v>
      </c>
      <c r="G153" s="68">
        <f t="shared" si="10"/>
        <v>0</v>
      </c>
      <c r="H153" s="72">
        <f t="shared" si="21"/>
        <v>0</v>
      </c>
      <c r="I153" s="73">
        <v>1.0</v>
      </c>
      <c r="J153" s="74"/>
      <c r="K153" s="75">
        <v>0.1</v>
      </c>
      <c r="L153" s="76">
        <v>0.0</v>
      </c>
      <c r="M153" s="79"/>
      <c r="N153" s="82"/>
      <c r="O153" s="85"/>
    </row>
    <row r="154">
      <c r="A154" s="55" t="s">
        <v>501</v>
      </c>
      <c r="B154" s="56"/>
      <c r="C154" s="58" t="s">
        <v>574</v>
      </c>
      <c r="D154" s="60">
        <v>1.0</v>
      </c>
      <c r="E154" s="66">
        <f t="shared" si="1"/>
        <v>-1.8224</v>
      </c>
      <c r="F154" s="68">
        <f t="shared" si="2"/>
        <v>-1.8224</v>
      </c>
      <c r="G154" s="68">
        <f t="shared" si="10"/>
        <v>2.8224</v>
      </c>
      <c r="H154" s="72">
        <v>2.45</v>
      </c>
      <c r="I154" s="73">
        <v>1.0</v>
      </c>
      <c r="J154" s="74"/>
      <c r="K154" s="75">
        <v>0.1</v>
      </c>
      <c r="L154" s="127">
        <v>0.052</v>
      </c>
      <c r="M154" s="79" t="s">
        <v>152</v>
      </c>
      <c r="N154" s="82"/>
      <c r="O154" s="85"/>
    </row>
    <row r="155">
      <c r="A155" s="160" t="s">
        <v>501</v>
      </c>
      <c r="B155" s="180"/>
      <c r="C155" s="162" t="s">
        <v>575</v>
      </c>
      <c r="D155" s="164">
        <v>1.0</v>
      </c>
      <c r="E155" s="165">
        <f t="shared" si="1"/>
        <v>-1.86848</v>
      </c>
      <c r="F155" s="166">
        <f t="shared" si="2"/>
        <v>-1.86848</v>
      </c>
      <c r="G155" s="166">
        <f t="shared" si="10"/>
        <v>2.86848</v>
      </c>
      <c r="H155" s="236">
        <v>2.49</v>
      </c>
      <c r="I155" s="168">
        <v>1.0</v>
      </c>
      <c r="J155" s="169"/>
      <c r="K155" s="170">
        <v>0.1</v>
      </c>
      <c r="L155" s="238">
        <v>0.052</v>
      </c>
      <c r="M155" s="79" t="s">
        <v>152</v>
      </c>
      <c r="N155" s="82"/>
      <c r="O155" s="190"/>
    </row>
    <row r="156">
      <c r="A156" s="55" t="s">
        <v>501</v>
      </c>
      <c r="B156" s="56"/>
      <c r="C156" s="58" t="s">
        <v>576</v>
      </c>
      <c r="D156" s="60">
        <v>1.0</v>
      </c>
      <c r="E156" s="66">
        <f t="shared" si="1"/>
        <v>1</v>
      </c>
      <c r="F156" s="68">
        <f t="shared" si="2"/>
        <v>1</v>
      </c>
      <c r="G156" s="68">
        <f t="shared" si="10"/>
        <v>0</v>
      </c>
      <c r="H156" s="72">
        <f t="shared" ref="H156:H157" si="22">J156/I156</f>
        <v>0</v>
      </c>
      <c r="I156" s="73">
        <v>1.0</v>
      </c>
      <c r="J156" s="74"/>
      <c r="K156" s="75">
        <v>0.1</v>
      </c>
      <c r="L156" s="76">
        <v>0.0</v>
      </c>
      <c r="M156" s="79"/>
      <c r="N156" s="82"/>
      <c r="O156" s="85"/>
    </row>
    <row r="157">
      <c r="A157" s="55" t="s">
        <v>501</v>
      </c>
      <c r="B157" s="56"/>
      <c r="C157" s="58" t="s">
        <v>579</v>
      </c>
      <c r="D157" s="60">
        <v>1.0</v>
      </c>
      <c r="E157" s="98">
        <f t="shared" si="1"/>
        <v>1</v>
      </c>
      <c r="F157" s="68">
        <f t="shared" si="2"/>
        <v>1</v>
      </c>
      <c r="G157" s="68">
        <f t="shared" si="10"/>
        <v>0</v>
      </c>
      <c r="H157" s="72">
        <f t="shared" si="22"/>
        <v>0</v>
      </c>
      <c r="I157" s="73">
        <v>1.0</v>
      </c>
      <c r="J157" s="74"/>
      <c r="K157" s="75">
        <v>0.1</v>
      </c>
      <c r="L157" s="76">
        <v>0.0</v>
      </c>
      <c r="M157" s="79"/>
      <c r="N157" s="82"/>
      <c r="O157" s="85"/>
    </row>
    <row r="158">
      <c r="A158" s="55" t="s">
        <v>501</v>
      </c>
      <c r="B158" s="56"/>
      <c r="C158" s="58" t="s">
        <v>580</v>
      </c>
      <c r="D158" s="60">
        <v>1.0</v>
      </c>
      <c r="E158" s="98">
        <f t="shared" si="1"/>
        <v>-11.155</v>
      </c>
      <c r="F158" s="68">
        <f t="shared" si="2"/>
        <v>-11.155</v>
      </c>
      <c r="G158" s="68">
        <f t="shared" si="10"/>
        <v>12.155</v>
      </c>
      <c r="H158" s="72">
        <v>11.05</v>
      </c>
      <c r="I158" s="73">
        <v>1.0</v>
      </c>
      <c r="J158" s="74"/>
      <c r="K158" s="75">
        <v>0.1</v>
      </c>
      <c r="L158" s="76">
        <v>0.0</v>
      </c>
      <c r="M158" s="79" t="s">
        <v>152</v>
      </c>
      <c r="N158" s="82"/>
      <c r="O158" s="85"/>
    </row>
    <row r="159">
      <c r="A159" s="55" t="s">
        <v>501</v>
      </c>
      <c r="B159" s="56"/>
      <c r="C159" s="58" t="s">
        <v>582</v>
      </c>
      <c r="D159" s="60">
        <v>1.0</v>
      </c>
      <c r="E159" s="66">
        <f t="shared" si="1"/>
        <v>1</v>
      </c>
      <c r="F159" s="68">
        <f t="shared" si="2"/>
        <v>1</v>
      </c>
      <c r="G159" s="68">
        <f t="shared" si="10"/>
        <v>0</v>
      </c>
      <c r="H159" s="72">
        <f t="shared" ref="H159:H168" si="23">J159/I159</f>
        <v>0</v>
      </c>
      <c r="I159" s="73">
        <v>1.0</v>
      </c>
      <c r="J159" s="74"/>
      <c r="K159" s="75">
        <v>0.1</v>
      </c>
      <c r="L159" s="76">
        <v>0.0</v>
      </c>
      <c r="M159" s="79"/>
      <c r="N159" s="82"/>
      <c r="O159" s="85"/>
    </row>
    <row r="160">
      <c r="A160" s="55" t="s">
        <v>501</v>
      </c>
      <c r="B160" s="56"/>
      <c r="C160" s="64" t="s">
        <v>583</v>
      </c>
      <c r="D160" s="67">
        <v>1.0</v>
      </c>
      <c r="E160" s="66">
        <f t="shared" si="1"/>
        <v>1</v>
      </c>
      <c r="F160" s="70">
        <f t="shared" si="2"/>
        <v>1</v>
      </c>
      <c r="G160" s="70">
        <f t="shared" si="10"/>
        <v>0</v>
      </c>
      <c r="H160" s="77">
        <f t="shared" si="23"/>
        <v>0</v>
      </c>
      <c r="I160" s="78">
        <v>1.0</v>
      </c>
      <c r="J160" s="80"/>
      <c r="K160" s="84">
        <v>0.1</v>
      </c>
      <c r="L160" s="163">
        <v>0.0</v>
      </c>
      <c r="M160" s="88"/>
      <c r="N160" s="90"/>
      <c r="O160" s="91"/>
    </row>
    <row r="161">
      <c r="A161" s="55" t="s">
        <v>501</v>
      </c>
      <c r="B161" s="56" t="s">
        <v>585</v>
      </c>
      <c r="C161" s="58" t="s">
        <v>586</v>
      </c>
      <c r="D161" s="60">
        <v>1.0</v>
      </c>
      <c r="E161" s="66">
        <f t="shared" si="1"/>
        <v>1</v>
      </c>
      <c r="F161" s="68">
        <f t="shared" si="2"/>
        <v>1</v>
      </c>
      <c r="G161" s="68">
        <f t="shared" si="10"/>
        <v>0</v>
      </c>
      <c r="H161" s="72">
        <f t="shared" si="23"/>
        <v>0</v>
      </c>
      <c r="I161" s="73">
        <v>1.0</v>
      </c>
      <c r="J161" s="74"/>
      <c r="K161" s="75">
        <v>0.1</v>
      </c>
      <c r="L161" s="76">
        <v>0.0</v>
      </c>
      <c r="M161" s="79"/>
      <c r="N161" s="82"/>
      <c r="O161" s="85"/>
    </row>
    <row r="162">
      <c r="A162" s="55" t="s">
        <v>501</v>
      </c>
      <c r="B162" s="56"/>
      <c r="C162" s="58" t="s">
        <v>588</v>
      </c>
      <c r="D162" s="60">
        <v>1.0</v>
      </c>
      <c r="E162" s="66">
        <f t="shared" si="1"/>
        <v>1</v>
      </c>
      <c r="F162" s="68">
        <f t="shared" si="2"/>
        <v>1</v>
      </c>
      <c r="G162" s="68">
        <f t="shared" si="10"/>
        <v>0</v>
      </c>
      <c r="H162" s="72">
        <f t="shared" si="23"/>
        <v>0</v>
      </c>
      <c r="I162" s="73">
        <v>1.0</v>
      </c>
      <c r="J162" s="74"/>
      <c r="K162" s="75">
        <v>0.1</v>
      </c>
      <c r="L162" s="76">
        <v>0.0</v>
      </c>
      <c r="M162" s="79"/>
      <c r="N162" s="82"/>
      <c r="O162" s="85"/>
    </row>
    <row r="163">
      <c r="A163" s="55" t="s">
        <v>501</v>
      </c>
      <c r="B163" s="56"/>
      <c r="C163" s="58" t="s">
        <v>592</v>
      </c>
      <c r="D163" s="60">
        <v>1.0</v>
      </c>
      <c r="E163" s="66">
        <f t="shared" si="1"/>
        <v>1</v>
      </c>
      <c r="F163" s="68">
        <f t="shared" si="2"/>
        <v>1</v>
      </c>
      <c r="G163" s="68">
        <f t="shared" si="10"/>
        <v>0</v>
      </c>
      <c r="H163" s="72">
        <f t="shared" si="23"/>
        <v>0</v>
      </c>
      <c r="I163" s="73">
        <v>1.0</v>
      </c>
      <c r="J163" s="74"/>
      <c r="K163" s="75">
        <v>0.1</v>
      </c>
      <c r="L163" s="76">
        <v>0.0</v>
      </c>
      <c r="M163" s="79"/>
      <c r="N163" s="82"/>
      <c r="O163" s="85"/>
    </row>
    <row r="164">
      <c r="A164" s="55" t="s">
        <v>501</v>
      </c>
      <c r="B164" s="56"/>
      <c r="C164" s="58" t="s">
        <v>593</v>
      </c>
      <c r="D164" s="60">
        <v>1.0</v>
      </c>
      <c r="E164" s="66">
        <f t="shared" si="1"/>
        <v>1</v>
      </c>
      <c r="F164" s="68">
        <f t="shared" si="2"/>
        <v>1</v>
      </c>
      <c r="G164" s="68">
        <f t="shared" si="10"/>
        <v>0</v>
      </c>
      <c r="H164" s="72">
        <f t="shared" si="23"/>
        <v>0</v>
      </c>
      <c r="I164" s="73">
        <v>1.0</v>
      </c>
      <c r="J164" s="74"/>
      <c r="K164" s="75">
        <v>0.1</v>
      </c>
      <c r="L164" s="76">
        <v>0.0</v>
      </c>
      <c r="M164" s="79"/>
      <c r="N164" s="82"/>
      <c r="O164" s="85"/>
    </row>
    <row r="165">
      <c r="A165" s="55" t="s">
        <v>501</v>
      </c>
      <c r="B165" s="56"/>
      <c r="C165" s="58" t="s">
        <v>594</v>
      </c>
      <c r="D165" s="60">
        <v>1.0</v>
      </c>
      <c r="E165" s="66">
        <f t="shared" si="1"/>
        <v>1</v>
      </c>
      <c r="F165" s="68">
        <f t="shared" si="2"/>
        <v>1</v>
      </c>
      <c r="G165" s="68">
        <f t="shared" si="10"/>
        <v>0</v>
      </c>
      <c r="H165" s="72">
        <f t="shared" si="23"/>
        <v>0</v>
      </c>
      <c r="I165" s="73">
        <v>1.0</v>
      </c>
      <c r="J165" s="74"/>
      <c r="K165" s="75">
        <v>0.1</v>
      </c>
      <c r="L165" s="76">
        <v>0.0</v>
      </c>
      <c r="M165" s="79"/>
      <c r="N165" s="82"/>
      <c r="O165" s="85"/>
    </row>
    <row r="166">
      <c r="A166" s="55" t="s">
        <v>501</v>
      </c>
      <c r="B166" s="56" t="s">
        <v>596</v>
      </c>
      <c r="C166" s="58" t="s">
        <v>597</v>
      </c>
      <c r="D166" s="60">
        <v>1.0</v>
      </c>
      <c r="E166" s="98">
        <f t="shared" si="1"/>
        <v>0.89</v>
      </c>
      <c r="F166" s="68">
        <f t="shared" si="2"/>
        <v>0.89</v>
      </c>
      <c r="G166" s="68">
        <f t="shared" si="10"/>
        <v>0.11</v>
      </c>
      <c r="H166" s="72">
        <f t="shared" si="23"/>
        <v>0.1</v>
      </c>
      <c r="I166" s="73">
        <v>80.0</v>
      </c>
      <c r="J166" s="74">
        <v>8.0</v>
      </c>
      <c r="K166" s="75">
        <v>0.1</v>
      </c>
      <c r="L166" s="76">
        <v>0.0</v>
      </c>
      <c r="M166" s="79"/>
      <c r="N166" s="82"/>
      <c r="O166" s="85"/>
    </row>
    <row r="167">
      <c r="A167" s="55" t="s">
        <v>501</v>
      </c>
      <c r="B167" s="56"/>
      <c r="C167" s="58" t="s">
        <v>601</v>
      </c>
      <c r="D167" s="60">
        <v>1.0</v>
      </c>
      <c r="E167" s="66">
        <f t="shared" si="1"/>
        <v>1</v>
      </c>
      <c r="F167" s="68">
        <f t="shared" si="2"/>
        <v>1</v>
      </c>
      <c r="G167" s="68">
        <f t="shared" si="10"/>
        <v>0</v>
      </c>
      <c r="H167" s="72">
        <f t="shared" si="23"/>
        <v>0</v>
      </c>
      <c r="I167" s="73">
        <v>1.0</v>
      </c>
      <c r="J167" s="74"/>
      <c r="K167" s="75">
        <v>0.1</v>
      </c>
      <c r="L167" s="76">
        <v>0.0</v>
      </c>
      <c r="M167" s="79"/>
      <c r="N167" s="82"/>
      <c r="O167" s="85"/>
    </row>
    <row r="168">
      <c r="A168" s="55" t="s">
        <v>501</v>
      </c>
      <c r="B168" s="56" t="s">
        <v>602</v>
      </c>
      <c r="C168" s="58" t="s">
        <v>603</v>
      </c>
      <c r="D168" s="60">
        <v>1.0</v>
      </c>
      <c r="E168" s="66">
        <f t="shared" si="1"/>
        <v>1</v>
      </c>
      <c r="F168" s="68">
        <f t="shared" si="2"/>
        <v>1</v>
      </c>
      <c r="G168" s="68">
        <f t="shared" si="10"/>
        <v>0</v>
      </c>
      <c r="H168" s="72">
        <f t="shared" si="23"/>
        <v>0</v>
      </c>
      <c r="I168" s="73">
        <v>1.0</v>
      </c>
      <c r="J168" s="74"/>
      <c r="K168" s="75">
        <v>0.1</v>
      </c>
      <c r="L168" s="76">
        <v>0.0</v>
      </c>
      <c r="M168" s="79"/>
      <c r="N168" s="82"/>
      <c r="O168" s="85"/>
    </row>
    <row r="169">
      <c r="A169" s="252" t="s">
        <v>501</v>
      </c>
      <c r="B169" s="254"/>
      <c r="C169" s="255" t="s">
        <v>606</v>
      </c>
      <c r="D169" s="257">
        <v>10.0</v>
      </c>
      <c r="E169" s="259">
        <f t="shared" si="1"/>
        <v>0.0595</v>
      </c>
      <c r="F169" s="261">
        <f t="shared" si="2"/>
        <v>0.595</v>
      </c>
      <c r="G169" s="261">
        <f t="shared" si="10"/>
        <v>9.405</v>
      </c>
      <c r="H169" s="264">
        <v>8.55</v>
      </c>
      <c r="I169" s="266">
        <v>1.0</v>
      </c>
      <c r="J169" s="268"/>
      <c r="K169" s="269">
        <v>0.1</v>
      </c>
      <c r="L169" s="271">
        <v>0.0</v>
      </c>
      <c r="M169" s="79"/>
      <c r="N169" s="82"/>
      <c r="O169" s="273"/>
    </row>
    <row r="170">
      <c r="A170" s="252" t="s">
        <v>501</v>
      </c>
      <c r="B170" s="274"/>
      <c r="C170" s="255" t="s">
        <v>609</v>
      </c>
      <c r="D170" s="275">
        <v>1.0</v>
      </c>
      <c r="E170" s="259">
        <f t="shared" si="1"/>
        <v>1</v>
      </c>
      <c r="F170" s="261">
        <f t="shared" si="2"/>
        <v>1</v>
      </c>
      <c r="G170" s="261">
        <f t="shared" si="10"/>
        <v>0</v>
      </c>
      <c r="H170" s="277">
        <f t="shared" ref="H170:H171" si="24">J170/I170</f>
        <v>0</v>
      </c>
      <c r="I170" s="266">
        <v>1.0</v>
      </c>
      <c r="J170" s="268"/>
      <c r="K170" s="269">
        <v>0.1</v>
      </c>
      <c r="L170" s="271">
        <v>0.0</v>
      </c>
      <c r="M170" s="79"/>
      <c r="N170" s="82"/>
      <c r="O170" s="273"/>
    </row>
    <row r="171">
      <c r="A171" s="280" t="s">
        <v>501</v>
      </c>
      <c r="B171" s="282"/>
      <c r="C171" s="284" t="s">
        <v>612</v>
      </c>
      <c r="D171" s="285">
        <v>2.0</v>
      </c>
      <c r="E171" s="287">
        <f t="shared" si="1"/>
        <v>1</v>
      </c>
      <c r="F171" s="289">
        <f t="shared" si="2"/>
        <v>2</v>
      </c>
      <c r="G171" s="289">
        <f t="shared" si="10"/>
        <v>0</v>
      </c>
      <c r="H171" s="290">
        <f t="shared" si="24"/>
        <v>0</v>
      </c>
      <c r="I171" s="291">
        <v>1.0</v>
      </c>
      <c r="J171" s="292"/>
      <c r="K171" s="293">
        <v>0.1</v>
      </c>
      <c r="L171" s="294">
        <v>0.0</v>
      </c>
      <c r="M171" s="79"/>
      <c r="N171" s="82"/>
      <c r="O171" s="295"/>
    </row>
    <row r="172">
      <c r="A172" s="280" t="s">
        <v>501</v>
      </c>
      <c r="B172" s="296" t="s">
        <v>613</v>
      </c>
      <c r="C172" s="284" t="s">
        <v>614</v>
      </c>
      <c r="D172" s="285">
        <v>1.0</v>
      </c>
      <c r="E172" s="287">
        <f t="shared" si="1"/>
        <v>-1.959</v>
      </c>
      <c r="F172" s="289">
        <f t="shared" si="2"/>
        <v>-1.959</v>
      </c>
      <c r="G172" s="289">
        <f t="shared" si="10"/>
        <v>2.959</v>
      </c>
      <c r="H172" s="297">
        <v>2.69</v>
      </c>
      <c r="I172" s="291">
        <v>1.0</v>
      </c>
      <c r="J172" s="292"/>
      <c r="K172" s="293">
        <v>0.1</v>
      </c>
      <c r="L172" s="294">
        <v>0.0</v>
      </c>
      <c r="M172" s="79" t="s">
        <v>86</v>
      </c>
      <c r="N172" s="82"/>
      <c r="O172" s="295"/>
    </row>
    <row r="173">
      <c r="A173" s="280" t="s">
        <v>501</v>
      </c>
      <c r="B173" s="282"/>
      <c r="C173" s="284" t="s">
        <v>616</v>
      </c>
      <c r="D173" s="298">
        <v>1.0</v>
      </c>
      <c r="E173" s="287">
        <f t="shared" si="1"/>
        <v>-2.025</v>
      </c>
      <c r="F173" s="289">
        <f t="shared" si="2"/>
        <v>-2.025</v>
      </c>
      <c r="G173" s="289">
        <f t="shared" si="10"/>
        <v>3.025</v>
      </c>
      <c r="H173" s="297">
        <v>2.75</v>
      </c>
      <c r="I173" s="291">
        <v>1.0</v>
      </c>
      <c r="J173" s="292"/>
      <c r="K173" s="293">
        <v>0.1</v>
      </c>
      <c r="L173" s="294">
        <v>0.0</v>
      </c>
      <c r="M173" s="79" t="s">
        <v>86</v>
      </c>
      <c r="N173" s="82"/>
      <c r="O173" s="295"/>
    </row>
    <row r="174">
      <c r="A174" s="280" t="s">
        <v>501</v>
      </c>
      <c r="B174" s="282"/>
      <c r="C174" s="284" t="s">
        <v>618</v>
      </c>
      <c r="D174" s="298">
        <v>1.0</v>
      </c>
      <c r="E174" s="287">
        <f t="shared" si="1"/>
        <v>1</v>
      </c>
      <c r="F174" s="289">
        <f t="shared" si="2"/>
        <v>1</v>
      </c>
      <c r="G174" s="289">
        <f t="shared" si="10"/>
        <v>0</v>
      </c>
      <c r="H174" s="290">
        <f t="shared" ref="H174:H176" si="25">J174/I174</f>
        <v>0</v>
      </c>
      <c r="I174" s="291">
        <v>1.0</v>
      </c>
      <c r="J174" s="292"/>
      <c r="K174" s="293">
        <v>0.1</v>
      </c>
      <c r="L174" s="294">
        <v>0.0</v>
      </c>
      <c r="M174" s="79"/>
      <c r="N174" s="82"/>
      <c r="O174" s="295"/>
    </row>
    <row r="175">
      <c r="A175" s="280" t="s">
        <v>501</v>
      </c>
      <c r="B175" s="282"/>
      <c r="C175" s="284" t="s">
        <v>613</v>
      </c>
      <c r="D175" s="298">
        <v>1.0</v>
      </c>
      <c r="E175" s="287">
        <f t="shared" si="1"/>
        <v>1</v>
      </c>
      <c r="F175" s="289">
        <f t="shared" si="2"/>
        <v>1</v>
      </c>
      <c r="G175" s="289">
        <f t="shared" si="10"/>
        <v>0</v>
      </c>
      <c r="H175" s="290">
        <f t="shared" si="25"/>
        <v>0</v>
      </c>
      <c r="I175" s="291">
        <v>1.0</v>
      </c>
      <c r="J175" s="292"/>
      <c r="K175" s="293">
        <v>0.1</v>
      </c>
      <c r="L175" s="294">
        <v>0.0</v>
      </c>
      <c r="M175" s="79"/>
      <c r="N175" s="82"/>
      <c r="O175" s="295"/>
    </row>
    <row r="176">
      <c r="A176" s="160" t="s">
        <v>501</v>
      </c>
      <c r="B176" s="161"/>
      <c r="C176" s="162" t="s">
        <v>622</v>
      </c>
      <c r="D176" s="164">
        <v>1.0</v>
      </c>
      <c r="E176" s="165">
        <f t="shared" si="1"/>
        <v>1</v>
      </c>
      <c r="F176" s="166">
        <f t="shared" si="2"/>
        <v>1</v>
      </c>
      <c r="G176" s="166">
        <f t="shared" si="10"/>
        <v>0</v>
      </c>
      <c r="H176" s="167">
        <f t="shared" si="25"/>
        <v>0</v>
      </c>
      <c r="I176" s="168">
        <v>1.0</v>
      </c>
      <c r="J176" s="169"/>
      <c r="K176" s="170">
        <v>0.1</v>
      </c>
      <c r="L176" s="171">
        <v>0.0</v>
      </c>
      <c r="M176" s="79"/>
      <c r="N176" s="82"/>
      <c r="O176" s="190"/>
    </row>
    <row r="177">
      <c r="A177" s="160" t="s">
        <v>501</v>
      </c>
      <c r="B177" s="161"/>
      <c r="C177" s="162" t="s">
        <v>623</v>
      </c>
      <c r="D177" s="164">
        <v>1.0</v>
      </c>
      <c r="E177" s="165">
        <f t="shared" si="1"/>
        <v>-6.491</v>
      </c>
      <c r="F177" s="166">
        <f t="shared" si="2"/>
        <v>-6.491</v>
      </c>
      <c r="G177" s="166">
        <f t="shared" si="10"/>
        <v>7.491</v>
      </c>
      <c r="H177" s="236">
        <v>6.81</v>
      </c>
      <c r="I177" s="168">
        <v>1.0</v>
      </c>
      <c r="J177" s="169"/>
      <c r="K177" s="170">
        <v>0.1</v>
      </c>
      <c r="L177" s="171">
        <v>0.0</v>
      </c>
      <c r="M177" s="79" t="s">
        <v>624</v>
      </c>
      <c r="N177" s="82"/>
      <c r="O177" s="190"/>
    </row>
    <row r="178">
      <c r="A178" s="160" t="s">
        <v>501</v>
      </c>
      <c r="B178" s="161"/>
      <c r="C178" s="162" t="s">
        <v>627</v>
      </c>
      <c r="D178" s="164">
        <v>1.0</v>
      </c>
      <c r="E178" s="165">
        <f t="shared" si="1"/>
        <v>0.23</v>
      </c>
      <c r="F178" s="166">
        <f t="shared" si="2"/>
        <v>0.23</v>
      </c>
      <c r="G178" s="166">
        <f t="shared" si="10"/>
        <v>0.77</v>
      </c>
      <c r="H178" s="236">
        <v>0.7</v>
      </c>
      <c r="I178" s="168">
        <v>1.0</v>
      </c>
      <c r="J178" s="169"/>
      <c r="K178" s="170">
        <v>0.1</v>
      </c>
      <c r="L178" s="171">
        <v>0.0</v>
      </c>
      <c r="M178" s="79" t="s">
        <v>628</v>
      </c>
      <c r="N178" s="82"/>
      <c r="O178" s="190"/>
    </row>
    <row r="179">
      <c r="A179" s="160" t="s">
        <v>501</v>
      </c>
      <c r="B179" s="161"/>
      <c r="C179" s="162" t="s">
        <v>629</v>
      </c>
      <c r="D179" s="164">
        <v>1.0</v>
      </c>
      <c r="E179" s="165">
        <f t="shared" si="1"/>
        <v>1</v>
      </c>
      <c r="F179" s="166">
        <f t="shared" si="2"/>
        <v>1</v>
      </c>
      <c r="G179" s="166">
        <f t="shared" si="10"/>
        <v>0</v>
      </c>
      <c r="H179" s="167">
        <f>J179/I179</f>
        <v>0</v>
      </c>
      <c r="I179" s="168">
        <v>1.0</v>
      </c>
      <c r="J179" s="169"/>
      <c r="K179" s="170">
        <v>0.1</v>
      </c>
      <c r="L179" s="171">
        <v>0.0</v>
      </c>
      <c r="M179" s="79"/>
      <c r="N179" s="82"/>
      <c r="O179" s="190"/>
    </row>
    <row r="180">
      <c r="A180" s="160" t="s">
        <v>501</v>
      </c>
      <c r="B180" s="306" t="s">
        <v>334</v>
      </c>
      <c r="C180" s="162" t="s">
        <v>630</v>
      </c>
      <c r="D180" s="164">
        <v>1.0</v>
      </c>
      <c r="E180" s="165">
        <f t="shared" si="1"/>
        <v>-21</v>
      </c>
      <c r="F180" s="166">
        <f t="shared" si="2"/>
        <v>-21</v>
      </c>
      <c r="G180" s="166">
        <f t="shared" si="10"/>
        <v>22</v>
      </c>
      <c r="H180" s="236">
        <v>20.0</v>
      </c>
      <c r="I180" s="168">
        <v>1.0</v>
      </c>
      <c r="J180" s="169"/>
      <c r="K180" s="170">
        <v>0.1</v>
      </c>
      <c r="L180" s="171">
        <v>0.0</v>
      </c>
      <c r="M180" s="79"/>
      <c r="N180" s="82"/>
      <c r="O180" s="190"/>
    </row>
    <row r="181">
      <c r="A181" s="307" t="s">
        <v>501</v>
      </c>
      <c r="B181" s="308"/>
      <c r="C181" s="309" t="s">
        <v>631</v>
      </c>
      <c r="D181" s="267">
        <v>2.0</v>
      </c>
      <c r="E181" s="270">
        <f t="shared" si="1"/>
        <v>1</v>
      </c>
      <c r="F181" s="272">
        <f t="shared" si="2"/>
        <v>2</v>
      </c>
      <c r="G181" s="272">
        <f t="shared" si="10"/>
        <v>0</v>
      </c>
      <c r="H181" s="276">
        <f>J181/I181</f>
        <v>0</v>
      </c>
      <c r="I181" s="311">
        <v>1.0</v>
      </c>
      <c r="J181" s="279"/>
      <c r="K181" s="281">
        <v>0.1</v>
      </c>
      <c r="L181" s="304">
        <v>0.0</v>
      </c>
      <c r="M181" s="79"/>
      <c r="N181" s="82"/>
      <c r="O181" s="288"/>
    </row>
    <row r="182">
      <c r="A182" s="307" t="s">
        <v>501</v>
      </c>
      <c r="B182" s="308"/>
      <c r="C182" s="309" t="s">
        <v>634</v>
      </c>
      <c r="D182" s="267">
        <v>1.0</v>
      </c>
      <c r="E182" s="270">
        <f t="shared" si="1"/>
        <v>-4.885</v>
      </c>
      <c r="F182" s="272">
        <f t="shared" si="2"/>
        <v>-4.885</v>
      </c>
      <c r="G182" s="272">
        <f t="shared" si="10"/>
        <v>5.885</v>
      </c>
      <c r="H182" s="312">
        <v>5.35</v>
      </c>
      <c r="I182" s="311">
        <v>1.0</v>
      </c>
      <c r="J182" s="279"/>
      <c r="K182" s="281">
        <v>0.1</v>
      </c>
      <c r="L182" s="304">
        <v>0.0</v>
      </c>
      <c r="M182" s="79"/>
      <c r="N182" s="82"/>
      <c r="O182" s="288"/>
    </row>
    <row r="183">
      <c r="A183" s="307" t="s">
        <v>501</v>
      </c>
      <c r="B183" s="308"/>
      <c r="C183" s="309" t="s">
        <v>636</v>
      </c>
      <c r="D183" s="267">
        <v>10.0</v>
      </c>
      <c r="E183" s="270">
        <f t="shared" si="1"/>
        <v>-0.9965</v>
      </c>
      <c r="F183" s="272">
        <f t="shared" si="2"/>
        <v>-9.965</v>
      </c>
      <c r="G183" s="272">
        <f t="shared" si="10"/>
        <v>19.965</v>
      </c>
      <c r="H183" s="312">
        <v>18.15</v>
      </c>
      <c r="I183" s="311">
        <v>1.0</v>
      </c>
      <c r="J183" s="279"/>
      <c r="K183" s="281">
        <v>0.1</v>
      </c>
      <c r="L183" s="304">
        <v>0.0</v>
      </c>
      <c r="M183" s="79" t="s">
        <v>638</v>
      </c>
      <c r="N183" s="82"/>
      <c r="O183" s="313" t="s">
        <v>639</v>
      </c>
    </row>
    <row r="184">
      <c r="A184" s="307" t="s">
        <v>501</v>
      </c>
      <c r="B184" s="315" t="s">
        <v>640</v>
      </c>
      <c r="C184" s="309" t="s">
        <v>641</v>
      </c>
      <c r="D184" s="267">
        <v>3.0</v>
      </c>
      <c r="E184" s="270">
        <f t="shared" si="1"/>
        <v>-5.801666667</v>
      </c>
      <c r="F184" s="272">
        <f t="shared" si="2"/>
        <v>-17.405</v>
      </c>
      <c r="G184" s="272">
        <f t="shared" si="10"/>
        <v>20.405</v>
      </c>
      <c r="H184" s="312">
        <v>18.55</v>
      </c>
      <c r="I184" s="316">
        <v>6.0</v>
      </c>
      <c r="J184" s="279"/>
      <c r="K184" s="281">
        <v>0.1</v>
      </c>
      <c r="L184" s="304">
        <v>0.0</v>
      </c>
      <c r="M184" s="79" t="s">
        <v>638</v>
      </c>
      <c r="N184" s="82"/>
      <c r="O184" s="313" t="s">
        <v>643</v>
      </c>
    </row>
    <row r="185">
      <c r="A185" s="307" t="s">
        <v>501</v>
      </c>
      <c r="B185" s="308"/>
      <c r="C185" s="309" t="s">
        <v>644</v>
      </c>
      <c r="D185" s="267">
        <v>3.0</v>
      </c>
      <c r="E185" s="270">
        <f t="shared" si="1"/>
        <v>-2.175333333</v>
      </c>
      <c r="F185" s="272">
        <f t="shared" si="2"/>
        <v>-6.526</v>
      </c>
      <c r="G185" s="272">
        <f t="shared" si="10"/>
        <v>9.526</v>
      </c>
      <c r="H185" s="312">
        <v>8.66</v>
      </c>
      <c r="I185" s="311">
        <v>1.0</v>
      </c>
      <c r="J185" s="279"/>
      <c r="K185" s="281">
        <v>0.1</v>
      </c>
      <c r="L185" s="304">
        <v>0.0</v>
      </c>
      <c r="M185" s="79" t="s">
        <v>86</v>
      </c>
      <c r="N185" s="82"/>
      <c r="O185" s="288"/>
    </row>
    <row r="186">
      <c r="A186" s="55" t="s">
        <v>501</v>
      </c>
      <c r="B186" s="56"/>
      <c r="C186" s="58" t="s">
        <v>645</v>
      </c>
      <c r="D186" s="60">
        <v>1.0</v>
      </c>
      <c r="E186" s="66">
        <f t="shared" si="1"/>
        <v>-10</v>
      </c>
      <c r="F186" s="68">
        <f t="shared" si="2"/>
        <v>-10</v>
      </c>
      <c r="G186" s="68">
        <f t="shared" si="10"/>
        <v>11</v>
      </c>
      <c r="H186" s="72">
        <v>10.0</v>
      </c>
      <c r="I186" s="73">
        <v>1.0</v>
      </c>
      <c r="J186" s="74"/>
      <c r="K186" s="75">
        <v>0.1</v>
      </c>
      <c r="L186" s="76">
        <v>0.0</v>
      </c>
      <c r="M186" s="79" t="s">
        <v>86</v>
      </c>
      <c r="N186" s="82"/>
      <c r="O186" s="85"/>
    </row>
    <row r="187">
      <c r="A187" s="55" t="s">
        <v>501</v>
      </c>
      <c r="B187" s="56"/>
      <c r="C187" s="58" t="s">
        <v>649</v>
      </c>
      <c r="D187" s="60">
        <v>2.0</v>
      </c>
      <c r="E187" s="66">
        <f t="shared" si="1"/>
        <v>1</v>
      </c>
      <c r="F187" s="68">
        <f t="shared" si="2"/>
        <v>2</v>
      </c>
      <c r="G187" s="68">
        <f t="shared" si="10"/>
        <v>0</v>
      </c>
      <c r="H187" s="72">
        <f t="shared" ref="H187:H190" si="26">J187/I187</f>
        <v>0</v>
      </c>
      <c r="I187" s="73">
        <v>1.0</v>
      </c>
      <c r="J187" s="74"/>
      <c r="K187" s="75">
        <v>0.1</v>
      </c>
      <c r="L187" s="76">
        <v>0.0</v>
      </c>
      <c r="M187" s="79"/>
      <c r="N187" s="82"/>
      <c r="O187" s="85"/>
    </row>
    <row r="188">
      <c r="A188" s="55" t="s">
        <v>501</v>
      </c>
      <c r="B188" s="56"/>
      <c r="C188" s="58" t="s">
        <v>653</v>
      </c>
      <c r="D188" s="60">
        <v>1.0</v>
      </c>
      <c r="E188" s="98">
        <f t="shared" si="1"/>
        <v>1</v>
      </c>
      <c r="F188" s="68">
        <f t="shared" si="2"/>
        <v>1</v>
      </c>
      <c r="G188" s="68">
        <f t="shared" si="10"/>
        <v>0</v>
      </c>
      <c r="H188" s="72">
        <f t="shared" si="26"/>
        <v>0</v>
      </c>
      <c r="I188" s="73">
        <v>1.0</v>
      </c>
      <c r="J188" s="74"/>
      <c r="K188" s="75">
        <v>0.1</v>
      </c>
      <c r="L188" s="76">
        <v>0.0</v>
      </c>
      <c r="M188" s="79"/>
      <c r="N188" s="82"/>
      <c r="O188" s="85"/>
    </row>
    <row r="189">
      <c r="A189" s="55" t="s">
        <v>501</v>
      </c>
      <c r="B189" s="56"/>
      <c r="C189" s="58" t="s">
        <v>655</v>
      </c>
      <c r="D189" s="60">
        <v>10.0</v>
      </c>
      <c r="E189" s="98">
        <f t="shared" si="1"/>
        <v>1</v>
      </c>
      <c r="F189" s="68">
        <f t="shared" si="2"/>
        <v>10</v>
      </c>
      <c r="G189" s="68">
        <f t="shared" si="10"/>
        <v>0</v>
      </c>
      <c r="H189" s="72">
        <f t="shared" si="26"/>
        <v>0</v>
      </c>
      <c r="I189" s="73">
        <v>1.0</v>
      </c>
      <c r="J189" s="74"/>
      <c r="K189" s="75">
        <v>0.1</v>
      </c>
      <c r="L189" s="76">
        <v>0.0</v>
      </c>
      <c r="M189" s="79"/>
      <c r="N189" s="82"/>
      <c r="O189" s="85"/>
    </row>
    <row r="190">
      <c r="A190" s="55" t="s">
        <v>501</v>
      </c>
      <c r="B190" s="56"/>
      <c r="C190" s="58" t="s">
        <v>657</v>
      </c>
      <c r="D190" s="60">
        <v>3.0</v>
      </c>
      <c r="E190" s="98">
        <f t="shared" si="1"/>
        <v>1</v>
      </c>
      <c r="F190" s="68">
        <f t="shared" si="2"/>
        <v>3</v>
      </c>
      <c r="G190" s="68">
        <f t="shared" si="10"/>
        <v>0</v>
      </c>
      <c r="H190" s="72">
        <f t="shared" si="26"/>
        <v>0</v>
      </c>
      <c r="I190" s="73">
        <v>1.0</v>
      </c>
      <c r="J190" s="74"/>
      <c r="K190" s="75">
        <v>0.1</v>
      </c>
      <c r="L190" s="76">
        <v>0.0</v>
      </c>
      <c r="M190" s="79"/>
      <c r="N190" s="82"/>
      <c r="O190" s="85"/>
    </row>
    <row r="191">
      <c r="A191" s="55" t="s">
        <v>501</v>
      </c>
      <c r="B191" s="56"/>
      <c r="C191" s="58" t="s">
        <v>658</v>
      </c>
      <c r="D191" s="60">
        <v>3.0</v>
      </c>
      <c r="E191" s="98">
        <f t="shared" si="1"/>
        <v>-0.199</v>
      </c>
      <c r="F191" s="68">
        <f t="shared" si="2"/>
        <v>-0.597</v>
      </c>
      <c r="G191" s="68">
        <f t="shared" si="10"/>
        <v>3.597</v>
      </c>
      <c r="H191" s="72">
        <v>3.27</v>
      </c>
      <c r="I191" s="73">
        <v>3.0</v>
      </c>
      <c r="J191" s="74"/>
      <c r="K191" s="75">
        <v>0.1</v>
      </c>
      <c r="L191" s="76">
        <v>0.0</v>
      </c>
      <c r="M191" s="79"/>
      <c r="N191" s="82"/>
      <c r="O191" s="85"/>
    </row>
    <row r="192">
      <c r="A192" s="55" t="s">
        <v>501</v>
      </c>
      <c r="B192" s="56"/>
      <c r="C192" s="58" t="s">
        <v>659</v>
      </c>
      <c r="D192" s="60">
        <v>3.0</v>
      </c>
      <c r="E192" s="98">
        <f t="shared" si="1"/>
        <v>1</v>
      </c>
      <c r="F192" s="68">
        <f t="shared" si="2"/>
        <v>3</v>
      </c>
      <c r="G192" s="68">
        <f t="shared" si="10"/>
        <v>0</v>
      </c>
      <c r="H192" s="72">
        <f t="shared" ref="H192:H194" si="27">J192/I192</f>
        <v>0</v>
      </c>
      <c r="I192" s="73">
        <v>1.0</v>
      </c>
      <c r="J192" s="74"/>
      <c r="K192" s="75">
        <v>0.1</v>
      </c>
      <c r="L192" s="76">
        <v>0.0</v>
      </c>
      <c r="M192" s="79"/>
      <c r="N192" s="82"/>
      <c r="O192" s="85"/>
    </row>
    <row r="193">
      <c r="A193" s="55" t="s">
        <v>501</v>
      </c>
      <c r="B193" s="56"/>
      <c r="C193" s="58" t="s">
        <v>658</v>
      </c>
      <c r="D193" s="60">
        <v>3.0</v>
      </c>
      <c r="E193" s="98">
        <f t="shared" si="1"/>
        <v>1</v>
      </c>
      <c r="F193" s="68">
        <f t="shared" si="2"/>
        <v>3</v>
      </c>
      <c r="G193" s="68">
        <f t="shared" si="10"/>
        <v>0</v>
      </c>
      <c r="H193" s="72">
        <f t="shared" si="27"/>
        <v>0</v>
      </c>
      <c r="I193" s="73">
        <v>1.0</v>
      </c>
      <c r="J193" s="74"/>
      <c r="K193" s="75">
        <v>0.1</v>
      </c>
      <c r="L193" s="76">
        <v>0.0</v>
      </c>
      <c r="M193" s="79"/>
      <c r="N193" s="82"/>
      <c r="O193" s="85"/>
    </row>
    <row r="194">
      <c r="A194" s="55" t="s">
        <v>501</v>
      </c>
      <c r="B194" s="56"/>
      <c r="C194" s="58"/>
      <c r="D194" s="60">
        <v>3.0</v>
      </c>
      <c r="E194" s="98">
        <f t="shared" si="1"/>
        <v>1</v>
      </c>
      <c r="F194" s="68">
        <f t="shared" si="2"/>
        <v>3</v>
      </c>
      <c r="G194" s="68">
        <f t="shared" si="10"/>
        <v>0</v>
      </c>
      <c r="H194" s="72">
        <f t="shared" si="27"/>
        <v>0</v>
      </c>
      <c r="I194" s="73">
        <v>1.0</v>
      </c>
      <c r="J194" s="74"/>
      <c r="K194" s="75">
        <v>0.1</v>
      </c>
      <c r="L194" s="76">
        <v>0.0</v>
      </c>
      <c r="M194" s="79"/>
      <c r="N194" s="82"/>
      <c r="O194" s="85"/>
    </row>
    <row r="195">
      <c r="A195" s="55" t="s">
        <v>501</v>
      </c>
      <c r="B195" s="56" t="s">
        <v>663</v>
      </c>
      <c r="C195" s="58" t="s">
        <v>664</v>
      </c>
      <c r="D195" s="60">
        <v>44.0</v>
      </c>
      <c r="E195" s="98">
        <f t="shared" si="1"/>
        <v>0.637</v>
      </c>
      <c r="F195" s="68">
        <f t="shared" si="2"/>
        <v>28.028</v>
      </c>
      <c r="G195" s="68">
        <f t="shared" si="10"/>
        <v>15.972</v>
      </c>
      <c r="H195" s="72">
        <v>14.52</v>
      </c>
      <c r="I195" s="73">
        <v>44.0</v>
      </c>
      <c r="J195" s="74"/>
      <c r="K195" s="75">
        <v>0.1</v>
      </c>
      <c r="L195" s="76">
        <v>0.0</v>
      </c>
      <c r="M195" s="79" t="s">
        <v>112</v>
      </c>
      <c r="N195" s="82"/>
      <c r="O195" s="85"/>
    </row>
    <row r="196">
      <c r="A196" s="160" t="s">
        <v>501</v>
      </c>
      <c r="B196" s="180"/>
      <c r="C196" s="162" t="s">
        <v>666</v>
      </c>
      <c r="D196" s="234">
        <v>26.0</v>
      </c>
      <c r="E196" s="235">
        <f t="shared" si="1"/>
        <v>0.3865384615</v>
      </c>
      <c r="F196" s="166">
        <f t="shared" si="2"/>
        <v>10.05</v>
      </c>
      <c r="G196" s="166">
        <f t="shared" si="10"/>
        <v>15.95</v>
      </c>
      <c r="H196" s="236">
        <v>14.5</v>
      </c>
      <c r="I196" s="317">
        <v>26.0</v>
      </c>
      <c r="J196" s="169"/>
      <c r="K196" s="170">
        <v>0.1</v>
      </c>
      <c r="L196" s="171">
        <v>0.0</v>
      </c>
      <c r="M196" s="318" t="s">
        <v>112</v>
      </c>
      <c r="N196" s="82"/>
      <c r="O196" s="190"/>
    </row>
    <row r="197">
      <c r="A197" s="55" t="s">
        <v>501</v>
      </c>
      <c r="B197" s="56"/>
      <c r="C197" s="58" t="s">
        <v>668</v>
      </c>
      <c r="D197" s="60">
        <v>40.0</v>
      </c>
      <c r="E197" s="98">
        <f t="shared" si="1"/>
        <v>0.54625</v>
      </c>
      <c r="F197" s="68">
        <f t="shared" si="2"/>
        <v>21.85</v>
      </c>
      <c r="G197" s="68">
        <f t="shared" si="10"/>
        <v>18.15</v>
      </c>
      <c r="H197" s="72">
        <v>16.5</v>
      </c>
      <c r="I197" s="73">
        <v>40.0</v>
      </c>
      <c r="J197" s="74"/>
      <c r="K197" s="75">
        <v>0.1</v>
      </c>
      <c r="L197" s="76">
        <v>0.0</v>
      </c>
      <c r="M197" s="79" t="s">
        <v>112</v>
      </c>
      <c r="N197" s="82"/>
      <c r="O197" s="85"/>
    </row>
    <row r="198">
      <c r="A198" s="55" t="s">
        <v>501</v>
      </c>
      <c r="B198" s="56"/>
      <c r="C198" s="58" t="s">
        <v>670</v>
      </c>
      <c r="D198" s="60">
        <v>40.0</v>
      </c>
      <c r="E198" s="98">
        <f t="shared" si="1"/>
        <v>0.1112</v>
      </c>
      <c r="F198" s="68">
        <f t="shared" si="2"/>
        <v>4.448</v>
      </c>
      <c r="G198" s="68">
        <f t="shared" si="10"/>
        <v>35.552</v>
      </c>
      <c r="H198" s="72">
        <v>32.32</v>
      </c>
      <c r="I198" s="73">
        <v>1.0</v>
      </c>
      <c r="J198" s="74"/>
      <c r="K198" s="75">
        <v>0.1</v>
      </c>
      <c r="L198" s="76">
        <v>0.0</v>
      </c>
      <c r="M198" s="79" t="s">
        <v>112</v>
      </c>
      <c r="N198" s="82"/>
      <c r="O198" s="85"/>
    </row>
    <row r="199">
      <c r="A199" s="55" t="s">
        <v>501</v>
      </c>
      <c r="B199" s="56"/>
      <c r="C199" s="58" t="s">
        <v>673</v>
      </c>
      <c r="D199" s="60">
        <v>3.0</v>
      </c>
      <c r="E199" s="98">
        <f t="shared" si="1"/>
        <v>-0.08166666667</v>
      </c>
      <c r="F199" s="68">
        <f t="shared" si="2"/>
        <v>-0.245</v>
      </c>
      <c r="G199" s="68">
        <f t="shared" si="10"/>
        <v>3.245</v>
      </c>
      <c r="H199" s="72">
        <v>2.95</v>
      </c>
      <c r="I199" s="73">
        <v>12.0</v>
      </c>
      <c r="J199" s="74"/>
      <c r="K199" s="75">
        <v>0.1</v>
      </c>
      <c r="L199" s="76">
        <v>0.0</v>
      </c>
      <c r="M199" s="79"/>
      <c r="N199" s="82"/>
      <c r="O199" s="85"/>
    </row>
    <row r="200">
      <c r="A200" s="55" t="s">
        <v>501</v>
      </c>
      <c r="B200" s="56"/>
      <c r="C200" s="58" t="s">
        <v>676</v>
      </c>
      <c r="D200" s="60">
        <v>3.0</v>
      </c>
      <c r="E200" s="98">
        <f t="shared" si="1"/>
        <v>0.2704</v>
      </c>
      <c r="F200" s="68">
        <f t="shared" si="2"/>
        <v>0.8112</v>
      </c>
      <c r="G200" s="68">
        <f t="shared" si="10"/>
        <v>2.1888</v>
      </c>
      <c r="H200" s="72">
        <v>1.9</v>
      </c>
      <c r="I200" s="73">
        <v>1.0</v>
      </c>
      <c r="J200" s="74"/>
      <c r="K200" s="75">
        <v>0.1</v>
      </c>
      <c r="L200" s="127">
        <v>0.052</v>
      </c>
      <c r="M200" s="79" t="s">
        <v>152</v>
      </c>
      <c r="N200" s="82"/>
      <c r="O200" s="85"/>
    </row>
    <row r="201">
      <c r="A201" s="55" t="s">
        <v>501</v>
      </c>
      <c r="B201" s="56"/>
      <c r="C201" s="58" t="s">
        <v>677</v>
      </c>
      <c r="D201" s="60">
        <v>3.0</v>
      </c>
      <c r="E201" s="98">
        <f t="shared" si="1"/>
        <v>1</v>
      </c>
      <c r="F201" s="68">
        <f t="shared" si="2"/>
        <v>3</v>
      </c>
      <c r="G201" s="68">
        <f t="shared" si="10"/>
        <v>0</v>
      </c>
      <c r="H201" s="72">
        <f t="shared" ref="H201:H204" si="28">J201/I201</f>
        <v>0</v>
      </c>
      <c r="I201" s="73">
        <v>1.0</v>
      </c>
      <c r="J201" s="74"/>
      <c r="K201" s="75">
        <v>0.1</v>
      </c>
      <c r="L201" s="76">
        <v>0.0</v>
      </c>
      <c r="M201" s="79"/>
      <c r="N201" s="82"/>
      <c r="O201" s="85"/>
    </row>
    <row r="202">
      <c r="A202" s="55" t="s">
        <v>501</v>
      </c>
      <c r="B202" s="56"/>
      <c r="C202" s="58" t="s">
        <v>678</v>
      </c>
      <c r="D202" s="60">
        <v>3.0</v>
      </c>
      <c r="E202" s="98">
        <f t="shared" si="1"/>
        <v>1</v>
      </c>
      <c r="F202" s="68">
        <f t="shared" si="2"/>
        <v>3</v>
      </c>
      <c r="G202" s="68">
        <f t="shared" si="10"/>
        <v>0</v>
      </c>
      <c r="H202" s="72">
        <f t="shared" si="28"/>
        <v>0</v>
      </c>
      <c r="I202" s="73">
        <v>1.0</v>
      </c>
      <c r="J202" s="74"/>
      <c r="K202" s="75">
        <v>0.1</v>
      </c>
      <c r="L202" s="76">
        <v>0.0</v>
      </c>
      <c r="M202" s="79"/>
      <c r="N202" s="82"/>
      <c r="O202" s="85"/>
    </row>
    <row r="203">
      <c r="A203" s="55" t="s">
        <v>501</v>
      </c>
      <c r="B203" s="56"/>
      <c r="C203" s="58" t="s">
        <v>679</v>
      </c>
      <c r="D203" s="60">
        <v>3.0</v>
      </c>
      <c r="E203" s="98">
        <f t="shared" si="1"/>
        <v>1</v>
      </c>
      <c r="F203" s="68">
        <f t="shared" si="2"/>
        <v>3</v>
      </c>
      <c r="G203" s="68">
        <f t="shared" si="10"/>
        <v>0</v>
      </c>
      <c r="H203" s="72">
        <f t="shared" si="28"/>
        <v>0</v>
      </c>
      <c r="I203" s="73">
        <v>1.0</v>
      </c>
      <c r="J203" s="74"/>
      <c r="K203" s="75">
        <v>0.1</v>
      </c>
      <c r="L203" s="76">
        <v>0.0</v>
      </c>
      <c r="M203" s="79"/>
      <c r="N203" s="82"/>
      <c r="O203" s="85"/>
    </row>
    <row r="204">
      <c r="A204" s="55" t="s">
        <v>501</v>
      </c>
      <c r="B204" s="56"/>
      <c r="C204" s="58"/>
      <c r="D204" s="60">
        <v>3.0</v>
      </c>
      <c r="E204" s="98">
        <f t="shared" si="1"/>
        <v>1</v>
      </c>
      <c r="F204" s="68">
        <f t="shared" si="2"/>
        <v>3</v>
      </c>
      <c r="G204" s="68">
        <f t="shared" si="10"/>
        <v>0</v>
      </c>
      <c r="H204" s="72">
        <f t="shared" si="28"/>
        <v>0</v>
      </c>
      <c r="I204" s="73">
        <v>1.0</v>
      </c>
      <c r="J204" s="74"/>
      <c r="K204" s="75">
        <v>0.1</v>
      </c>
      <c r="L204" s="76">
        <v>0.0</v>
      </c>
      <c r="M204" s="79"/>
      <c r="N204" s="82"/>
      <c r="O204" s="85"/>
    </row>
    <row r="205">
      <c r="A205" s="160" t="s">
        <v>501</v>
      </c>
      <c r="B205" s="180"/>
      <c r="C205" s="162" t="s">
        <v>680</v>
      </c>
      <c r="D205" s="164">
        <v>2.5</v>
      </c>
      <c r="E205" s="165">
        <f t="shared" si="1"/>
        <v>0.39844</v>
      </c>
      <c r="F205" s="166">
        <f t="shared" si="2"/>
        <v>0.9961</v>
      </c>
      <c r="G205" s="166">
        <f t="shared" si="10"/>
        <v>1.5039</v>
      </c>
      <c r="H205" s="236">
        <v>1.35</v>
      </c>
      <c r="I205" s="168">
        <v>1.0</v>
      </c>
      <c r="J205" s="169"/>
      <c r="K205" s="170">
        <v>0.1</v>
      </c>
      <c r="L205" s="238">
        <v>0.014</v>
      </c>
      <c r="M205" s="79" t="s">
        <v>411</v>
      </c>
      <c r="N205" s="82"/>
      <c r="O205" s="190"/>
    </row>
    <row r="206">
      <c r="A206" s="55" t="s">
        <v>501</v>
      </c>
      <c r="B206" s="56"/>
      <c r="C206" s="58" t="s">
        <v>681</v>
      </c>
      <c r="D206" s="60">
        <v>2.5</v>
      </c>
      <c r="E206" s="98">
        <f t="shared" si="1"/>
        <v>0.416264</v>
      </c>
      <c r="F206" s="68">
        <f t="shared" si="2"/>
        <v>1.04066</v>
      </c>
      <c r="G206" s="68">
        <f t="shared" si="10"/>
        <v>1.45934</v>
      </c>
      <c r="H206" s="72">
        <v>1.31</v>
      </c>
      <c r="I206" s="73">
        <v>1.0</v>
      </c>
      <c r="J206" s="74"/>
      <c r="K206" s="75">
        <v>0.1</v>
      </c>
      <c r="L206" s="127">
        <v>0.014</v>
      </c>
      <c r="M206" s="79" t="s">
        <v>411</v>
      </c>
      <c r="N206" s="82"/>
      <c r="O206" s="85"/>
    </row>
    <row r="207">
      <c r="A207" s="55" t="s">
        <v>501</v>
      </c>
      <c r="B207" s="56"/>
      <c r="C207" s="58" t="s">
        <v>683</v>
      </c>
      <c r="D207" s="60">
        <v>2.5</v>
      </c>
      <c r="E207" s="98">
        <f t="shared" si="1"/>
        <v>-8.22392</v>
      </c>
      <c r="F207" s="68">
        <f t="shared" si="2"/>
        <v>-20.5598</v>
      </c>
      <c r="G207" s="68">
        <f t="shared" si="10"/>
        <v>23.0598</v>
      </c>
      <c r="H207" s="72">
        <v>20.7</v>
      </c>
      <c r="I207" s="73">
        <v>1.0</v>
      </c>
      <c r="J207" s="74"/>
      <c r="K207" s="75">
        <v>0.1</v>
      </c>
      <c r="L207" s="127">
        <v>0.014</v>
      </c>
      <c r="M207" s="79" t="s">
        <v>411</v>
      </c>
      <c r="N207" s="82"/>
      <c r="O207" s="85" t="s">
        <v>685</v>
      </c>
    </row>
    <row r="208">
      <c r="A208" s="55" t="s">
        <v>501</v>
      </c>
      <c r="B208" s="56"/>
      <c r="C208" s="58" t="s">
        <v>686</v>
      </c>
      <c r="D208" s="60">
        <v>3.0</v>
      </c>
      <c r="E208" s="98">
        <f t="shared" si="1"/>
        <v>-2.102</v>
      </c>
      <c r="F208" s="68">
        <f t="shared" si="2"/>
        <v>-6.306</v>
      </c>
      <c r="G208" s="68">
        <f t="shared" si="10"/>
        <v>9.306</v>
      </c>
      <c r="H208" s="72">
        <v>8.46</v>
      </c>
      <c r="I208" s="73">
        <v>10.0</v>
      </c>
      <c r="J208" s="74"/>
      <c r="K208" s="75">
        <v>0.1</v>
      </c>
      <c r="L208" s="76">
        <v>0.0</v>
      </c>
      <c r="M208" s="79" t="s">
        <v>411</v>
      </c>
      <c r="N208" s="82"/>
      <c r="O208" s="85" t="s">
        <v>687</v>
      </c>
    </row>
    <row r="209">
      <c r="A209" s="55" t="s">
        <v>501</v>
      </c>
      <c r="B209" s="56"/>
      <c r="C209" s="58" t="s">
        <v>688</v>
      </c>
      <c r="D209" s="60">
        <v>3.0</v>
      </c>
      <c r="E209" s="98">
        <f t="shared" si="1"/>
        <v>1</v>
      </c>
      <c r="F209" s="68">
        <f t="shared" si="2"/>
        <v>3</v>
      </c>
      <c r="G209" s="68">
        <f t="shared" si="10"/>
        <v>0</v>
      </c>
      <c r="H209" s="72">
        <f t="shared" ref="H209:H228" si="29">J209/I209</f>
        <v>0</v>
      </c>
      <c r="I209" s="73">
        <v>1.0</v>
      </c>
      <c r="J209" s="74"/>
      <c r="K209" s="75">
        <v>0.1</v>
      </c>
      <c r="L209" s="76">
        <v>0.0</v>
      </c>
      <c r="M209" s="79"/>
      <c r="N209" s="82"/>
      <c r="O209" s="85"/>
    </row>
    <row r="210">
      <c r="A210" s="55" t="s">
        <v>501</v>
      </c>
      <c r="B210" s="56"/>
      <c r="C210" s="58" t="s">
        <v>196</v>
      </c>
      <c r="D210" s="60">
        <v>3.0</v>
      </c>
      <c r="E210" s="98">
        <f t="shared" si="1"/>
        <v>1</v>
      </c>
      <c r="F210" s="68">
        <f t="shared" si="2"/>
        <v>3</v>
      </c>
      <c r="G210" s="68">
        <f t="shared" si="10"/>
        <v>0</v>
      </c>
      <c r="H210" s="72">
        <f t="shared" si="29"/>
        <v>0</v>
      </c>
      <c r="I210" s="73">
        <v>1.0</v>
      </c>
      <c r="J210" s="74"/>
      <c r="K210" s="75">
        <v>0.1</v>
      </c>
      <c r="L210" s="76">
        <v>0.0</v>
      </c>
      <c r="M210" s="79"/>
      <c r="N210" s="82"/>
      <c r="O210" s="85"/>
    </row>
    <row r="211">
      <c r="A211" s="55" t="s">
        <v>501</v>
      </c>
      <c r="B211" s="56"/>
      <c r="C211" s="58" t="s">
        <v>196</v>
      </c>
      <c r="D211" s="60">
        <v>3.0</v>
      </c>
      <c r="E211" s="98">
        <f t="shared" si="1"/>
        <v>1</v>
      </c>
      <c r="F211" s="68">
        <f t="shared" si="2"/>
        <v>3</v>
      </c>
      <c r="G211" s="68">
        <f t="shared" si="10"/>
        <v>0</v>
      </c>
      <c r="H211" s="72">
        <f t="shared" si="29"/>
        <v>0</v>
      </c>
      <c r="I211" s="73">
        <v>1.0</v>
      </c>
      <c r="J211" s="74"/>
      <c r="K211" s="75">
        <v>0.1</v>
      </c>
      <c r="L211" s="76">
        <v>0.0</v>
      </c>
      <c r="M211" s="79"/>
      <c r="N211" s="82"/>
      <c r="O211" s="85"/>
    </row>
    <row r="212">
      <c r="A212" s="55" t="s">
        <v>501</v>
      </c>
      <c r="B212" s="56"/>
      <c r="C212" s="58"/>
      <c r="D212" s="60">
        <v>3.0</v>
      </c>
      <c r="E212" s="98">
        <f t="shared" si="1"/>
        <v>1</v>
      </c>
      <c r="F212" s="68">
        <f t="shared" si="2"/>
        <v>3</v>
      </c>
      <c r="G212" s="68">
        <f t="shared" si="10"/>
        <v>0</v>
      </c>
      <c r="H212" s="72">
        <f t="shared" si="29"/>
        <v>0</v>
      </c>
      <c r="I212" s="73">
        <v>1.0</v>
      </c>
      <c r="J212" s="74"/>
      <c r="K212" s="75">
        <v>0.1</v>
      </c>
      <c r="L212" s="76">
        <v>0.0</v>
      </c>
      <c r="M212" s="79"/>
      <c r="N212" s="82"/>
      <c r="O212" s="85"/>
    </row>
    <row r="213">
      <c r="A213" s="55" t="s">
        <v>501</v>
      </c>
      <c r="B213" s="56"/>
      <c r="C213" s="58" t="s">
        <v>689</v>
      </c>
      <c r="D213" s="60">
        <v>3.0</v>
      </c>
      <c r="E213" s="98">
        <f t="shared" si="1"/>
        <v>1</v>
      </c>
      <c r="F213" s="68">
        <f t="shared" si="2"/>
        <v>3</v>
      </c>
      <c r="G213" s="68">
        <f t="shared" si="10"/>
        <v>0</v>
      </c>
      <c r="H213" s="72">
        <f t="shared" si="29"/>
        <v>0</v>
      </c>
      <c r="I213" s="73">
        <v>1.0</v>
      </c>
      <c r="J213" s="74"/>
      <c r="K213" s="75">
        <v>0.1</v>
      </c>
      <c r="L213" s="76">
        <v>0.0</v>
      </c>
      <c r="M213" s="79"/>
      <c r="N213" s="82"/>
      <c r="O213" s="85"/>
    </row>
    <row r="214">
      <c r="A214" s="55" t="s">
        <v>501</v>
      </c>
      <c r="B214" s="56"/>
      <c r="C214" s="58" t="s">
        <v>690</v>
      </c>
      <c r="D214" s="60">
        <v>3.0</v>
      </c>
      <c r="E214" s="98">
        <f t="shared" si="1"/>
        <v>1</v>
      </c>
      <c r="F214" s="68">
        <f t="shared" si="2"/>
        <v>3</v>
      </c>
      <c r="G214" s="68">
        <f t="shared" si="10"/>
        <v>0</v>
      </c>
      <c r="H214" s="72">
        <f t="shared" si="29"/>
        <v>0</v>
      </c>
      <c r="I214" s="73">
        <v>1.0</v>
      </c>
      <c r="J214" s="74"/>
      <c r="K214" s="75">
        <v>0.1</v>
      </c>
      <c r="L214" s="76">
        <v>0.0</v>
      </c>
      <c r="M214" s="79"/>
      <c r="N214" s="82"/>
      <c r="O214" s="85"/>
    </row>
    <row r="215">
      <c r="A215" s="55" t="s">
        <v>501</v>
      </c>
      <c r="B215" s="56"/>
      <c r="C215" s="58" t="s">
        <v>691</v>
      </c>
      <c r="D215" s="60">
        <v>3.0</v>
      </c>
      <c r="E215" s="98">
        <f t="shared" si="1"/>
        <v>1</v>
      </c>
      <c r="F215" s="68">
        <f t="shared" si="2"/>
        <v>3</v>
      </c>
      <c r="G215" s="68">
        <f t="shared" si="10"/>
        <v>0</v>
      </c>
      <c r="H215" s="72">
        <f t="shared" si="29"/>
        <v>0</v>
      </c>
      <c r="I215" s="73">
        <v>1.0</v>
      </c>
      <c r="J215" s="74"/>
      <c r="K215" s="75">
        <v>0.1</v>
      </c>
      <c r="L215" s="76">
        <v>0.0</v>
      </c>
      <c r="M215" s="79"/>
      <c r="N215" s="82"/>
      <c r="O215" s="85"/>
    </row>
    <row r="216">
      <c r="A216" s="55" t="s">
        <v>501</v>
      </c>
      <c r="B216" s="56"/>
      <c r="C216" s="58" t="s">
        <v>692</v>
      </c>
      <c r="D216" s="60">
        <v>3.0</v>
      </c>
      <c r="E216" s="98">
        <f t="shared" si="1"/>
        <v>1</v>
      </c>
      <c r="F216" s="68">
        <f t="shared" si="2"/>
        <v>3</v>
      </c>
      <c r="G216" s="68">
        <f t="shared" si="10"/>
        <v>0</v>
      </c>
      <c r="H216" s="72">
        <f t="shared" si="29"/>
        <v>0</v>
      </c>
      <c r="I216" s="73">
        <v>1.0</v>
      </c>
      <c r="J216" s="74"/>
      <c r="K216" s="75">
        <v>0.1</v>
      </c>
      <c r="L216" s="76">
        <v>0.0</v>
      </c>
      <c r="M216" s="79"/>
      <c r="N216" s="82"/>
      <c r="O216" s="85"/>
    </row>
    <row r="217">
      <c r="A217" s="55" t="s">
        <v>501</v>
      </c>
      <c r="B217" s="56"/>
      <c r="C217" s="58" t="s">
        <v>693</v>
      </c>
      <c r="D217" s="60">
        <v>3.0</v>
      </c>
      <c r="E217" s="98">
        <f t="shared" si="1"/>
        <v>1</v>
      </c>
      <c r="F217" s="68">
        <f t="shared" si="2"/>
        <v>3</v>
      </c>
      <c r="G217" s="68">
        <f t="shared" si="10"/>
        <v>0</v>
      </c>
      <c r="H217" s="72">
        <f t="shared" si="29"/>
        <v>0</v>
      </c>
      <c r="I217" s="73">
        <v>1.0</v>
      </c>
      <c r="J217" s="74"/>
      <c r="K217" s="75">
        <v>0.1</v>
      </c>
      <c r="L217" s="76">
        <v>0.0</v>
      </c>
      <c r="M217" s="79"/>
      <c r="N217" s="82"/>
      <c r="O217" s="85"/>
    </row>
    <row r="218">
      <c r="A218" s="55" t="s">
        <v>501</v>
      </c>
      <c r="B218" s="56"/>
      <c r="C218" s="58" t="s">
        <v>694</v>
      </c>
      <c r="D218" s="60">
        <v>3.0</v>
      </c>
      <c r="E218" s="98">
        <f t="shared" si="1"/>
        <v>1</v>
      </c>
      <c r="F218" s="68">
        <f t="shared" si="2"/>
        <v>3</v>
      </c>
      <c r="G218" s="68">
        <f t="shared" si="10"/>
        <v>0</v>
      </c>
      <c r="H218" s="72">
        <f t="shared" si="29"/>
        <v>0</v>
      </c>
      <c r="I218" s="73">
        <v>1.0</v>
      </c>
      <c r="J218" s="74"/>
      <c r="K218" s="75">
        <v>0.1</v>
      </c>
      <c r="L218" s="76">
        <v>0.0</v>
      </c>
      <c r="M218" s="79"/>
      <c r="N218" s="82"/>
      <c r="O218" s="85"/>
    </row>
    <row r="219">
      <c r="A219" s="55" t="s">
        <v>501</v>
      </c>
      <c r="B219" s="56"/>
      <c r="C219" s="58"/>
      <c r="D219" s="60">
        <v>3.0</v>
      </c>
      <c r="E219" s="98">
        <f t="shared" si="1"/>
        <v>1</v>
      </c>
      <c r="F219" s="68">
        <f t="shared" si="2"/>
        <v>3</v>
      </c>
      <c r="G219" s="68">
        <f t="shared" si="10"/>
        <v>0</v>
      </c>
      <c r="H219" s="72">
        <f t="shared" si="29"/>
        <v>0</v>
      </c>
      <c r="I219" s="73">
        <v>1.0</v>
      </c>
      <c r="J219" s="74"/>
      <c r="K219" s="75">
        <v>0.1</v>
      </c>
      <c r="L219" s="76">
        <v>0.0</v>
      </c>
      <c r="M219" s="79"/>
      <c r="N219" s="82"/>
      <c r="O219" s="85"/>
    </row>
    <row r="220">
      <c r="A220" s="55" t="s">
        <v>501</v>
      </c>
      <c r="B220" s="56" t="s">
        <v>695</v>
      </c>
      <c r="C220" s="58" t="s">
        <v>696</v>
      </c>
      <c r="D220" s="60">
        <v>3.0</v>
      </c>
      <c r="E220" s="98">
        <f t="shared" si="1"/>
        <v>1</v>
      </c>
      <c r="F220" s="68">
        <f t="shared" si="2"/>
        <v>3</v>
      </c>
      <c r="G220" s="68">
        <f t="shared" si="10"/>
        <v>0</v>
      </c>
      <c r="H220" s="72">
        <f t="shared" si="29"/>
        <v>0</v>
      </c>
      <c r="I220" s="73">
        <v>1.0</v>
      </c>
      <c r="J220" s="74"/>
      <c r="K220" s="75">
        <v>0.1</v>
      </c>
      <c r="L220" s="76">
        <v>0.0</v>
      </c>
      <c r="M220" s="79"/>
      <c r="N220" s="82"/>
      <c r="O220" s="85"/>
    </row>
    <row r="221">
      <c r="A221" s="55" t="s">
        <v>501</v>
      </c>
      <c r="B221" s="56"/>
      <c r="C221" s="58" t="s">
        <v>697</v>
      </c>
      <c r="D221" s="60">
        <v>3.0</v>
      </c>
      <c r="E221" s="98">
        <f t="shared" si="1"/>
        <v>1</v>
      </c>
      <c r="F221" s="68">
        <f t="shared" si="2"/>
        <v>3</v>
      </c>
      <c r="G221" s="68">
        <f t="shared" si="10"/>
        <v>0</v>
      </c>
      <c r="H221" s="72">
        <f t="shared" si="29"/>
        <v>0</v>
      </c>
      <c r="I221" s="73">
        <v>1.0</v>
      </c>
      <c r="J221" s="74"/>
      <c r="K221" s="75">
        <v>0.1</v>
      </c>
      <c r="L221" s="76">
        <v>0.0</v>
      </c>
      <c r="M221" s="79"/>
      <c r="N221" s="82"/>
      <c r="O221" s="85"/>
    </row>
    <row r="222">
      <c r="A222" s="55" t="s">
        <v>501</v>
      </c>
      <c r="B222" s="56"/>
      <c r="C222" s="58" t="s">
        <v>700</v>
      </c>
      <c r="D222" s="60">
        <v>3.0</v>
      </c>
      <c r="E222" s="98">
        <f t="shared" si="1"/>
        <v>1</v>
      </c>
      <c r="F222" s="68">
        <f t="shared" si="2"/>
        <v>3</v>
      </c>
      <c r="G222" s="68">
        <f t="shared" si="10"/>
        <v>0</v>
      </c>
      <c r="H222" s="72">
        <f t="shared" si="29"/>
        <v>0</v>
      </c>
      <c r="I222" s="73">
        <v>1.0</v>
      </c>
      <c r="J222" s="74"/>
      <c r="K222" s="75">
        <v>0.1</v>
      </c>
      <c r="L222" s="76">
        <v>0.0</v>
      </c>
      <c r="M222" s="79"/>
      <c r="N222" s="82"/>
      <c r="O222" s="85"/>
    </row>
    <row r="223">
      <c r="A223" s="55" t="s">
        <v>501</v>
      </c>
      <c r="B223" s="56"/>
      <c r="C223" s="58" t="s">
        <v>701</v>
      </c>
      <c r="D223" s="60">
        <v>3.0</v>
      </c>
      <c r="E223" s="98">
        <f t="shared" si="1"/>
        <v>1</v>
      </c>
      <c r="F223" s="68">
        <f t="shared" si="2"/>
        <v>3</v>
      </c>
      <c r="G223" s="68">
        <f t="shared" si="10"/>
        <v>0</v>
      </c>
      <c r="H223" s="72">
        <f t="shared" si="29"/>
        <v>0</v>
      </c>
      <c r="I223" s="73">
        <v>1.0</v>
      </c>
      <c r="J223" s="74"/>
      <c r="K223" s="75">
        <v>0.1</v>
      </c>
      <c r="L223" s="76">
        <v>0.0</v>
      </c>
      <c r="M223" s="79"/>
      <c r="N223" s="82"/>
      <c r="O223" s="85"/>
    </row>
    <row r="224">
      <c r="A224" s="55" t="s">
        <v>501</v>
      </c>
      <c r="B224" s="56"/>
      <c r="C224" s="58" t="s">
        <v>702</v>
      </c>
      <c r="D224" s="60">
        <v>3.0</v>
      </c>
      <c r="E224" s="98">
        <f t="shared" si="1"/>
        <v>1</v>
      </c>
      <c r="F224" s="68">
        <f t="shared" si="2"/>
        <v>3</v>
      </c>
      <c r="G224" s="68">
        <f t="shared" si="10"/>
        <v>0</v>
      </c>
      <c r="H224" s="72">
        <f t="shared" si="29"/>
        <v>0</v>
      </c>
      <c r="I224" s="73">
        <v>1.0</v>
      </c>
      <c r="J224" s="74"/>
      <c r="K224" s="75">
        <v>0.1</v>
      </c>
      <c r="L224" s="76">
        <v>0.0</v>
      </c>
      <c r="M224" s="79"/>
      <c r="N224" s="82"/>
      <c r="O224" s="85"/>
    </row>
    <row r="225">
      <c r="A225" s="55" t="s">
        <v>501</v>
      </c>
      <c r="B225" s="56"/>
      <c r="C225" s="58" t="s">
        <v>703</v>
      </c>
      <c r="D225" s="60">
        <v>3.0</v>
      </c>
      <c r="E225" s="98">
        <f t="shared" si="1"/>
        <v>1</v>
      </c>
      <c r="F225" s="68">
        <f t="shared" si="2"/>
        <v>3</v>
      </c>
      <c r="G225" s="68">
        <f t="shared" si="10"/>
        <v>0</v>
      </c>
      <c r="H225" s="72">
        <f t="shared" si="29"/>
        <v>0</v>
      </c>
      <c r="I225" s="73">
        <v>1.0</v>
      </c>
      <c r="J225" s="74"/>
      <c r="K225" s="75">
        <v>0.1</v>
      </c>
      <c r="L225" s="76">
        <v>0.0</v>
      </c>
      <c r="M225" s="79"/>
      <c r="N225" s="82"/>
      <c r="O225" s="85"/>
    </row>
    <row r="226">
      <c r="A226" s="55" t="s">
        <v>501</v>
      </c>
      <c r="B226" s="56"/>
      <c r="C226" s="58" t="s">
        <v>704</v>
      </c>
      <c r="D226" s="60">
        <v>3.0</v>
      </c>
      <c r="E226" s="98">
        <f t="shared" si="1"/>
        <v>1</v>
      </c>
      <c r="F226" s="68">
        <f t="shared" si="2"/>
        <v>3</v>
      </c>
      <c r="G226" s="68">
        <f t="shared" si="10"/>
        <v>0</v>
      </c>
      <c r="H226" s="72">
        <f t="shared" si="29"/>
        <v>0</v>
      </c>
      <c r="I226" s="73">
        <v>1.0</v>
      </c>
      <c r="J226" s="74"/>
      <c r="K226" s="75">
        <v>0.1</v>
      </c>
      <c r="L226" s="76">
        <v>0.0</v>
      </c>
      <c r="M226" s="79"/>
      <c r="N226" s="82"/>
      <c r="O226" s="85"/>
    </row>
    <row r="227">
      <c r="A227" s="55" t="s">
        <v>501</v>
      </c>
      <c r="B227" s="56"/>
      <c r="C227" s="58" t="s">
        <v>705</v>
      </c>
      <c r="D227" s="60">
        <v>3.0</v>
      </c>
      <c r="E227" s="98">
        <f t="shared" si="1"/>
        <v>1</v>
      </c>
      <c r="F227" s="68">
        <f t="shared" si="2"/>
        <v>3</v>
      </c>
      <c r="G227" s="68">
        <f t="shared" si="10"/>
        <v>0</v>
      </c>
      <c r="H227" s="72">
        <f t="shared" si="29"/>
        <v>0</v>
      </c>
      <c r="I227" s="73">
        <v>1.0</v>
      </c>
      <c r="J227" s="74"/>
      <c r="K227" s="75">
        <v>0.1</v>
      </c>
      <c r="L227" s="76">
        <v>0.0</v>
      </c>
      <c r="M227" s="79"/>
      <c r="N227" s="82"/>
      <c r="O227" s="85"/>
    </row>
    <row r="228">
      <c r="A228" s="55" t="s">
        <v>501</v>
      </c>
      <c r="B228" s="56"/>
      <c r="C228" s="58" t="s">
        <v>705</v>
      </c>
      <c r="D228" s="60">
        <v>3.0</v>
      </c>
      <c r="E228" s="98">
        <f t="shared" si="1"/>
        <v>1</v>
      </c>
      <c r="F228" s="68">
        <f t="shared" si="2"/>
        <v>3</v>
      </c>
      <c r="G228" s="68">
        <f t="shared" si="10"/>
        <v>0</v>
      </c>
      <c r="H228" s="72">
        <f t="shared" si="29"/>
        <v>0</v>
      </c>
      <c r="I228" s="73">
        <v>1.0</v>
      </c>
      <c r="J228" s="74"/>
      <c r="K228" s="75">
        <v>0.1</v>
      </c>
      <c r="L228" s="76">
        <v>0.0</v>
      </c>
      <c r="M228" s="79"/>
      <c r="N228" s="82"/>
      <c r="O228" s="85"/>
    </row>
    <row r="229">
      <c r="A229" s="55" t="s">
        <v>501</v>
      </c>
      <c r="B229" s="56"/>
      <c r="C229" s="58" t="s">
        <v>706</v>
      </c>
      <c r="D229" s="60">
        <v>3.0</v>
      </c>
      <c r="E229" s="98">
        <f t="shared" si="1"/>
        <v>-2.63</v>
      </c>
      <c r="F229" s="68">
        <f t="shared" si="2"/>
        <v>-7.89</v>
      </c>
      <c r="G229" s="68">
        <f t="shared" si="10"/>
        <v>10.89</v>
      </c>
      <c r="H229" s="72">
        <v>9.9</v>
      </c>
      <c r="I229" s="73">
        <v>1.0</v>
      </c>
      <c r="J229" s="74"/>
      <c r="K229" s="75">
        <v>0.1</v>
      </c>
      <c r="L229" s="76">
        <v>0.0</v>
      </c>
      <c r="M229" s="79" t="s">
        <v>707</v>
      </c>
      <c r="N229" s="82"/>
      <c r="O229" s="85"/>
    </row>
    <row r="230">
      <c r="A230" s="55" t="s">
        <v>501</v>
      </c>
      <c r="B230" s="56"/>
      <c r="C230" s="58" t="s">
        <v>708</v>
      </c>
      <c r="D230" s="60">
        <v>3.0</v>
      </c>
      <c r="E230" s="98">
        <f t="shared" si="1"/>
        <v>1</v>
      </c>
      <c r="F230" s="68">
        <f t="shared" si="2"/>
        <v>3</v>
      </c>
      <c r="G230" s="68">
        <f t="shared" si="10"/>
        <v>0</v>
      </c>
      <c r="H230" s="72">
        <f>J230/I230</f>
        <v>0</v>
      </c>
      <c r="I230" s="73">
        <v>1.0</v>
      </c>
      <c r="J230" s="74"/>
      <c r="K230" s="75">
        <v>0.1</v>
      </c>
      <c r="L230" s="76">
        <v>0.0</v>
      </c>
      <c r="M230" s="79"/>
      <c r="N230" s="82"/>
      <c r="O230" s="85"/>
    </row>
    <row r="231">
      <c r="A231" s="55" t="s">
        <v>501</v>
      </c>
      <c r="B231" s="56"/>
      <c r="C231" s="58" t="s">
        <v>709</v>
      </c>
      <c r="D231" s="60">
        <v>3.0</v>
      </c>
      <c r="E231" s="98">
        <f t="shared" si="1"/>
        <v>-4.28</v>
      </c>
      <c r="F231" s="68">
        <f t="shared" si="2"/>
        <v>-12.84</v>
      </c>
      <c r="G231" s="68">
        <f t="shared" si="10"/>
        <v>15.84</v>
      </c>
      <c r="H231" s="72">
        <v>14.4</v>
      </c>
      <c r="I231" s="73">
        <v>1.0</v>
      </c>
      <c r="J231" s="74"/>
      <c r="K231" s="75">
        <v>0.1</v>
      </c>
      <c r="L231" s="76">
        <v>0.0</v>
      </c>
      <c r="M231" s="79" t="s">
        <v>710</v>
      </c>
      <c r="N231" s="82"/>
      <c r="O231" s="85"/>
    </row>
    <row r="232">
      <c r="A232" s="55" t="s">
        <v>501</v>
      </c>
      <c r="B232" s="56"/>
      <c r="C232" s="58" t="s">
        <v>711</v>
      </c>
      <c r="D232" s="60">
        <v>3.0</v>
      </c>
      <c r="E232" s="98">
        <f t="shared" si="1"/>
        <v>1</v>
      </c>
      <c r="F232" s="68">
        <f t="shared" si="2"/>
        <v>3</v>
      </c>
      <c r="G232" s="68">
        <f t="shared" si="10"/>
        <v>0</v>
      </c>
      <c r="H232" s="72">
        <f t="shared" ref="H232:H233" si="30">J232/I232</f>
        <v>0</v>
      </c>
      <c r="I232" s="73">
        <v>1.0</v>
      </c>
      <c r="J232" s="74"/>
      <c r="K232" s="75">
        <v>0.1</v>
      </c>
      <c r="L232" s="76">
        <v>0.0</v>
      </c>
      <c r="M232" s="79"/>
      <c r="N232" s="82"/>
      <c r="O232" s="85"/>
    </row>
    <row r="233">
      <c r="A233" s="55" t="s">
        <v>501</v>
      </c>
      <c r="B233" s="56"/>
      <c r="C233" s="58" t="s">
        <v>712</v>
      </c>
      <c r="D233" s="60">
        <v>3.0</v>
      </c>
      <c r="E233" s="98">
        <f t="shared" si="1"/>
        <v>1</v>
      </c>
      <c r="F233" s="68">
        <f t="shared" si="2"/>
        <v>3</v>
      </c>
      <c r="G233" s="68">
        <f t="shared" si="10"/>
        <v>0</v>
      </c>
      <c r="H233" s="72">
        <f t="shared" si="30"/>
        <v>0</v>
      </c>
      <c r="I233" s="73">
        <v>1.0</v>
      </c>
      <c r="J233" s="74"/>
      <c r="K233" s="75">
        <v>0.1</v>
      </c>
      <c r="L233" s="76">
        <v>0.0</v>
      </c>
      <c r="M233" s="79"/>
      <c r="N233" s="82"/>
      <c r="O233" s="85"/>
    </row>
    <row r="234">
      <c r="A234" s="55" t="s">
        <v>501</v>
      </c>
      <c r="B234" s="56"/>
      <c r="C234" s="58" t="s">
        <v>713</v>
      </c>
      <c r="D234" s="60">
        <v>3.0</v>
      </c>
      <c r="E234" s="98">
        <f t="shared" si="1"/>
        <v>-2.391666667</v>
      </c>
      <c r="F234" s="68">
        <f t="shared" si="2"/>
        <v>-7.175</v>
      </c>
      <c r="G234" s="68">
        <f t="shared" si="10"/>
        <v>10.175</v>
      </c>
      <c r="H234" s="72">
        <v>9.25</v>
      </c>
      <c r="I234" s="73">
        <v>40.0</v>
      </c>
      <c r="J234" s="74"/>
      <c r="K234" s="75">
        <v>0.1</v>
      </c>
      <c r="L234" s="76">
        <v>0.0</v>
      </c>
      <c r="M234" s="79" t="s">
        <v>152</v>
      </c>
      <c r="N234" s="82"/>
      <c r="O234" s="85"/>
    </row>
    <row r="235">
      <c r="A235" s="55" t="s">
        <v>501</v>
      </c>
      <c r="B235" s="56"/>
      <c r="C235" s="58" t="s">
        <v>714</v>
      </c>
      <c r="D235" s="60">
        <v>3.0</v>
      </c>
      <c r="E235" s="98">
        <f t="shared" si="1"/>
        <v>1</v>
      </c>
      <c r="F235" s="68">
        <f t="shared" si="2"/>
        <v>3</v>
      </c>
      <c r="G235" s="68">
        <f t="shared" si="10"/>
        <v>0</v>
      </c>
      <c r="H235" s="72">
        <f t="shared" ref="H235:H240" si="31">J235/I235</f>
        <v>0</v>
      </c>
      <c r="I235" s="73">
        <v>1.0</v>
      </c>
      <c r="J235" s="74"/>
      <c r="K235" s="75">
        <v>0.1</v>
      </c>
      <c r="L235" s="76">
        <v>0.0</v>
      </c>
      <c r="M235" s="79"/>
      <c r="N235" s="82"/>
      <c r="O235" s="85"/>
    </row>
    <row r="236">
      <c r="A236" s="55" t="s">
        <v>501</v>
      </c>
      <c r="B236" s="56"/>
      <c r="C236" s="58" t="s">
        <v>715</v>
      </c>
      <c r="D236" s="60">
        <v>3.0</v>
      </c>
      <c r="E236" s="98">
        <f t="shared" si="1"/>
        <v>1</v>
      </c>
      <c r="F236" s="68">
        <f t="shared" si="2"/>
        <v>3</v>
      </c>
      <c r="G236" s="68">
        <f t="shared" si="10"/>
        <v>0</v>
      </c>
      <c r="H236" s="72">
        <f t="shared" si="31"/>
        <v>0</v>
      </c>
      <c r="I236" s="73">
        <v>1.0</v>
      </c>
      <c r="J236" s="74"/>
      <c r="K236" s="75">
        <v>0.1</v>
      </c>
      <c r="L236" s="76">
        <v>0.0</v>
      </c>
      <c r="M236" s="79"/>
      <c r="N236" s="82"/>
      <c r="O236" s="85"/>
    </row>
    <row r="237">
      <c r="A237" s="55" t="s">
        <v>501</v>
      </c>
      <c r="B237" s="56"/>
      <c r="C237" s="58"/>
      <c r="D237" s="60">
        <v>3.0</v>
      </c>
      <c r="E237" s="98">
        <f t="shared" si="1"/>
        <v>1</v>
      </c>
      <c r="F237" s="68">
        <f t="shared" si="2"/>
        <v>3</v>
      </c>
      <c r="G237" s="68">
        <f t="shared" si="10"/>
        <v>0</v>
      </c>
      <c r="H237" s="72">
        <f t="shared" si="31"/>
        <v>0</v>
      </c>
      <c r="I237" s="73">
        <v>1.0</v>
      </c>
      <c r="J237" s="74"/>
      <c r="K237" s="75">
        <v>0.1</v>
      </c>
      <c r="L237" s="76">
        <v>0.0</v>
      </c>
      <c r="M237" s="79"/>
      <c r="N237" s="82"/>
      <c r="O237" s="85"/>
    </row>
    <row r="238">
      <c r="A238" s="55" t="s">
        <v>501</v>
      </c>
      <c r="B238" s="56"/>
      <c r="C238" s="58" t="s">
        <v>718</v>
      </c>
      <c r="D238" s="60">
        <v>3.0</v>
      </c>
      <c r="E238" s="98">
        <f t="shared" si="1"/>
        <v>1</v>
      </c>
      <c r="F238" s="68">
        <f t="shared" si="2"/>
        <v>3</v>
      </c>
      <c r="G238" s="68">
        <f t="shared" si="10"/>
        <v>0</v>
      </c>
      <c r="H238" s="72">
        <f t="shared" si="31"/>
        <v>0</v>
      </c>
      <c r="I238" s="73">
        <v>1.0</v>
      </c>
      <c r="J238" s="74"/>
      <c r="K238" s="75">
        <v>0.1</v>
      </c>
      <c r="L238" s="76">
        <v>0.0</v>
      </c>
      <c r="M238" s="79"/>
      <c r="N238" s="82"/>
      <c r="O238" s="85"/>
    </row>
    <row r="239">
      <c r="A239" s="55" t="s">
        <v>501</v>
      </c>
      <c r="B239" s="56"/>
      <c r="C239" s="58" t="s">
        <v>719</v>
      </c>
      <c r="D239" s="60">
        <v>3.0</v>
      </c>
      <c r="E239" s="98">
        <f t="shared" si="1"/>
        <v>1</v>
      </c>
      <c r="F239" s="68">
        <f t="shared" si="2"/>
        <v>3</v>
      </c>
      <c r="G239" s="68">
        <f t="shared" si="10"/>
        <v>0</v>
      </c>
      <c r="H239" s="72">
        <f t="shared" si="31"/>
        <v>0</v>
      </c>
      <c r="I239" s="73">
        <v>1.0</v>
      </c>
      <c r="J239" s="74"/>
      <c r="K239" s="75">
        <v>0.1</v>
      </c>
      <c r="L239" s="76">
        <v>0.0</v>
      </c>
      <c r="M239" s="79"/>
      <c r="N239" s="82"/>
      <c r="O239" s="85"/>
    </row>
    <row r="240">
      <c r="A240" s="55" t="s">
        <v>501</v>
      </c>
      <c r="B240" s="56"/>
      <c r="C240" s="58" t="s">
        <v>720</v>
      </c>
      <c r="D240" s="60">
        <v>3.0</v>
      </c>
      <c r="E240" s="98">
        <f t="shared" si="1"/>
        <v>1</v>
      </c>
      <c r="F240" s="68">
        <f t="shared" si="2"/>
        <v>3</v>
      </c>
      <c r="G240" s="68">
        <f t="shared" si="10"/>
        <v>0</v>
      </c>
      <c r="H240" s="72">
        <f t="shared" si="31"/>
        <v>0</v>
      </c>
      <c r="I240" s="73">
        <v>1.0</v>
      </c>
      <c r="J240" s="74"/>
      <c r="K240" s="75">
        <v>0.1</v>
      </c>
      <c r="L240" s="76">
        <v>0.0</v>
      </c>
      <c r="M240" s="79"/>
      <c r="N240" s="82"/>
      <c r="O240" s="85"/>
    </row>
    <row r="241">
      <c r="A241" s="55" t="s">
        <v>501</v>
      </c>
      <c r="B241" s="56"/>
      <c r="C241" s="58" t="s">
        <v>722</v>
      </c>
      <c r="D241" s="60">
        <v>3.0</v>
      </c>
      <c r="E241" s="98">
        <f t="shared" si="1"/>
        <v>-11.93233333</v>
      </c>
      <c r="F241" s="68">
        <f t="shared" si="2"/>
        <v>-35.797</v>
      </c>
      <c r="G241" s="68">
        <f t="shared" si="10"/>
        <v>38.797</v>
      </c>
      <c r="H241" s="72">
        <v>35.27</v>
      </c>
      <c r="I241" s="73">
        <v>1.0</v>
      </c>
      <c r="J241" s="74"/>
      <c r="K241" s="75">
        <v>0.1</v>
      </c>
      <c r="L241" s="76">
        <v>0.0</v>
      </c>
      <c r="M241" s="79"/>
      <c r="N241" s="82"/>
      <c r="O241" s="85"/>
    </row>
    <row r="242">
      <c r="A242" s="55" t="s">
        <v>501</v>
      </c>
      <c r="B242" s="56"/>
      <c r="C242" s="58" t="s">
        <v>723</v>
      </c>
      <c r="D242" s="60">
        <v>3.0</v>
      </c>
      <c r="E242" s="98">
        <f t="shared" si="1"/>
        <v>-4.096666667</v>
      </c>
      <c r="F242" s="68">
        <f t="shared" si="2"/>
        <v>-12.29</v>
      </c>
      <c r="G242" s="68">
        <f t="shared" si="10"/>
        <v>15.29</v>
      </c>
      <c r="H242" s="72">
        <v>13.9</v>
      </c>
      <c r="I242" s="73">
        <v>1.0</v>
      </c>
      <c r="J242" s="74"/>
      <c r="K242" s="75">
        <v>0.1</v>
      </c>
      <c r="L242" s="76">
        <v>0.0</v>
      </c>
      <c r="M242" s="79"/>
      <c r="N242" s="82"/>
      <c r="O242" s="85"/>
    </row>
    <row r="243">
      <c r="A243" s="55" t="s">
        <v>501</v>
      </c>
      <c r="B243" s="56"/>
      <c r="C243" s="58" t="s">
        <v>724</v>
      </c>
      <c r="D243" s="60">
        <v>3.0</v>
      </c>
      <c r="E243" s="98">
        <f t="shared" si="1"/>
        <v>-6.355333333</v>
      </c>
      <c r="F243" s="68">
        <f t="shared" si="2"/>
        <v>-19.066</v>
      </c>
      <c r="G243" s="68">
        <f t="shared" si="10"/>
        <v>22.066</v>
      </c>
      <c r="H243" s="72">
        <v>20.06</v>
      </c>
      <c r="I243" s="73">
        <v>1.0</v>
      </c>
      <c r="J243" s="74"/>
      <c r="K243" s="75">
        <v>0.1</v>
      </c>
      <c r="L243" s="76">
        <v>0.0</v>
      </c>
      <c r="M243" s="79"/>
      <c r="N243" s="82"/>
      <c r="O243" s="85"/>
    </row>
    <row r="244">
      <c r="A244" s="55" t="s">
        <v>501</v>
      </c>
      <c r="B244" s="56"/>
      <c r="C244" s="58" t="s">
        <v>725</v>
      </c>
      <c r="D244" s="60">
        <v>3.0</v>
      </c>
      <c r="E244" s="98">
        <f t="shared" si="1"/>
        <v>-4.463333333</v>
      </c>
      <c r="F244" s="68">
        <f t="shared" si="2"/>
        <v>-13.39</v>
      </c>
      <c r="G244" s="68">
        <f t="shared" si="10"/>
        <v>16.39</v>
      </c>
      <c r="H244" s="72">
        <v>14.9</v>
      </c>
      <c r="I244" s="73">
        <v>1.0</v>
      </c>
      <c r="J244" s="74"/>
      <c r="K244" s="75">
        <v>0.1</v>
      </c>
      <c r="L244" s="76">
        <v>0.0</v>
      </c>
      <c r="M244" s="79"/>
      <c r="N244" s="82"/>
      <c r="O244" s="85"/>
    </row>
    <row r="245">
      <c r="A245" s="55" t="s">
        <v>501</v>
      </c>
      <c r="B245" s="56"/>
      <c r="C245" s="58"/>
      <c r="D245" s="60">
        <v>3.0</v>
      </c>
      <c r="E245" s="98">
        <f t="shared" si="1"/>
        <v>1</v>
      </c>
      <c r="F245" s="68">
        <f t="shared" si="2"/>
        <v>3</v>
      </c>
      <c r="G245" s="68">
        <f t="shared" si="10"/>
        <v>0</v>
      </c>
      <c r="H245" s="72">
        <f t="shared" ref="H245:H258" si="32">J245/I245</f>
        <v>0</v>
      </c>
      <c r="I245" s="73">
        <v>1.0</v>
      </c>
      <c r="J245" s="74"/>
      <c r="K245" s="75">
        <v>0.1</v>
      </c>
      <c r="L245" s="76">
        <v>0.0</v>
      </c>
      <c r="M245" s="79"/>
      <c r="N245" s="82"/>
      <c r="O245" s="85"/>
    </row>
    <row r="246">
      <c r="A246" s="55" t="s">
        <v>501</v>
      </c>
      <c r="B246" s="56"/>
      <c r="C246" s="58" t="s">
        <v>727</v>
      </c>
      <c r="D246" s="60">
        <v>3.0</v>
      </c>
      <c r="E246" s="98">
        <f t="shared" si="1"/>
        <v>1</v>
      </c>
      <c r="F246" s="68">
        <f t="shared" si="2"/>
        <v>3</v>
      </c>
      <c r="G246" s="68">
        <f t="shared" si="10"/>
        <v>0</v>
      </c>
      <c r="H246" s="72">
        <f t="shared" si="32"/>
        <v>0</v>
      </c>
      <c r="I246" s="73">
        <v>1.0</v>
      </c>
      <c r="J246" s="74"/>
      <c r="K246" s="75">
        <v>0.1</v>
      </c>
      <c r="L246" s="76">
        <v>0.0</v>
      </c>
      <c r="M246" s="79"/>
      <c r="N246" s="82"/>
      <c r="O246" s="85"/>
    </row>
    <row r="247">
      <c r="A247" s="55" t="s">
        <v>501</v>
      </c>
      <c r="B247" s="56"/>
      <c r="C247" s="58"/>
      <c r="D247" s="60">
        <v>3.0</v>
      </c>
      <c r="E247" s="98">
        <f t="shared" si="1"/>
        <v>1</v>
      </c>
      <c r="F247" s="68">
        <f t="shared" si="2"/>
        <v>3</v>
      </c>
      <c r="G247" s="68">
        <f t="shared" si="10"/>
        <v>0</v>
      </c>
      <c r="H247" s="72">
        <f t="shared" si="32"/>
        <v>0</v>
      </c>
      <c r="I247" s="73">
        <v>1.0</v>
      </c>
      <c r="J247" s="74"/>
      <c r="K247" s="75">
        <v>0.1</v>
      </c>
      <c r="L247" s="76">
        <v>0.0</v>
      </c>
      <c r="M247" s="79"/>
      <c r="N247" s="82"/>
      <c r="O247" s="85"/>
    </row>
    <row r="248">
      <c r="A248" s="55" t="s">
        <v>501</v>
      </c>
      <c r="B248" s="56"/>
      <c r="C248" s="58" t="s">
        <v>728</v>
      </c>
      <c r="D248" s="60">
        <v>3.0</v>
      </c>
      <c r="E248" s="98">
        <f t="shared" si="1"/>
        <v>1</v>
      </c>
      <c r="F248" s="68">
        <f t="shared" si="2"/>
        <v>3</v>
      </c>
      <c r="G248" s="68">
        <f t="shared" si="10"/>
        <v>0</v>
      </c>
      <c r="H248" s="72">
        <f t="shared" si="32"/>
        <v>0</v>
      </c>
      <c r="I248" s="73">
        <v>1.0</v>
      </c>
      <c r="J248" s="74"/>
      <c r="K248" s="75">
        <v>0.1</v>
      </c>
      <c r="L248" s="76">
        <v>0.0</v>
      </c>
      <c r="M248" s="79"/>
      <c r="N248" s="82"/>
      <c r="O248" s="85"/>
    </row>
    <row r="249">
      <c r="A249" s="55" t="s">
        <v>501</v>
      </c>
      <c r="B249" s="56"/>
      <c r="C249" s="58" t="s">
        <v>729</v>
      </c>
      <c r="D249" s="60">
        <v>3.0</v>
      </c>
      <c r="E249" s="98">
        <f t="shared" si="1"/>
        <v>1</v>
      </c>
      <c r="F249" s="68">
        <f t="shared" si="2"/>
        <v>3</v>
      </c>
      <c r="G249" s="68">
        <f t="shared" si="10"/>
        <v>0</v>
      </c>
      <c r="H249" s="72">
        <f t="shared" si="32"/>
        <v>0</v>
      </c>
      <c r="I249" s="73">
        <v>1.0</v>
      </c>
      <c r="J249" s="74"/>
      <c r="K249" s="75">
        <v>0.1</v>
      </c>
      <c r="L249" s="76">
        <v>0.0</v>
      </c>
      <c r="M249" s="79"/>
      <c r="N249" s="82"/>
      <c r="O249" s="85"/>
    </row>
    <row r="250">
      <c r="A250" s="55" t="s">
        <v>501</v>
      </c>
      <c r="B250" s="56"/>
      <c r="C250" s="58" t="s">
        <v>730</v>
      </c>
      <c r="D250" s="60">
        <v>3.0</v>
      </c>
      <c r="E250" s="98">
        <f t="shared" si="1"/>
        <v>1</v>
      </c>
      <c r="F250" s="68">
        <f t="shared" si="2"/>
        <v>3</v>
      </c>
      <c r="G250" s="68">
        <f t="shared" si="10"/>
        <v>0</v>
      </c>
      <c r="H250" s="72">
        <f t="shared" si="32"/>
        <v>0</v>
      </c>
      <c r="I250" s="73">
        <v>1.0</v>
      </c>
      <c r="J250" s="74"/>
      <c r="K250" s="75">
        <v>0.1</v>
      </c>
      <c r="L250" s="76">
        <v>0.0</v>
      </c>
      <c r="M250" s="79"/>
      <c r="N250" s="82"/>
      <c r="O250" s="85"/>
    </row>
    <row r="251">
      <c r="A251" s="55" t="s">
        <v>501</v>
      </c>
      <c r="B251" s="56"/>
      <c r="C251" s="58"/>
      <c r="D251" s="60">
        <v>3.0</v>
      </c>
      <c r="E251" s="98">
        <f t="shared" si="1"/>
        <v>1</v>
      </c>
      <c r="F251" s="68">
        <f t="shared" si="2"/>
        <v>3</v>
      </c>
      <c r="G251" s="68">
        <f t="shared" si="10"/>
        <v>0</v>
      </c>
      <c r="H251" s="72">
        <f t="shared" si="32"/>
        <v>0</v>
      </c>
      <c r="I251" s="73">
        <v>1.0</v>
      </c>
      <c r="J251" s="74"/>
      <c r="K251" s="75">
        <v>0.1</v>
      </c>
      <c r="L251" s="76">
        <v>0.0</v>
      </c>
      <c r="M251" s="79"/>
      <c r="N251" s="82"/>
      <c r="O251" s="85"/>
    </row>
    <row r="252">
      <c r="A252" s="55" t="s">
        <v>501</v>
      </c>
      <c r="B252" s="56"/>
      <c r="C252" s="58" t="s">
        <v>732</v>
      </c>
      <c r="D252" s="60">
        <v>3.0</v>
      </c>
      <c r="E252" s="98">
        <f t="shared" si="1"/>
        <v>1</v>
      </c>
      <c r="F252" s="68">
        <f t="shared" si="2"/>
        <v>3</v>
      </c>
      <c r="G252" s="68">
        <f t="shared" si="10"/>
        <v>0</v>
      </c>
      <c r="H252" s="72">
        <f t="shared" si="32"/>
        <v>0</v>
      </c>
      <c r="I252" s="73">
        <v>1.0</v>
      </c>
      <c r="J252" s="74"/>
      <c r="K252" s="75">
        <v>0.1</v>
      </c>
      <c r="L252" s="76">
        <v>0.0</v>
      </c>
      <c r="M252" s="79"/>
      <c r="N252" s="82"/>
      <c r="O252" s="85"/>
    </row>
    <row r="253">
      <c r="A253" s="55" t="s">
        <v>501</v>
      </c>
      <c r="B253" s="56"/>
      <c r="C253" s="58" t="s">
        <v>733</v>
      </c>
      <c r="D253" s="60">
        <v>3.0</v>
      </c>
      <c r="E253" s="98">
        <f t="shared" si="1"/>
        <v>1</v>
      </c>
      <c r="F253" s="68">
        <f t="shared" si="2"/>
        <v>3</v>
      </c>
      <c r="G253" s="68">
        <f t="shared" si="10"/>
        <v>0</v>
      </c>
      <c r="H253" s="72">
        <f t="shared" si="32"/>
        <v>0</v>
      </c>
      <c r="I253" s="73">
        <v>1.0</v>
      </c>
      <c r="J253" s="74"/>
      <c r="K253" s="75">
        <v>0.1</v>
      </c>
      <c r="L253" s="76">
        <v>0.0</v>
      </c>
      <c r="M253" s="79"/>
      <c r="N253" s="82"/>
      <c r="O253" s="85"/>
    </row>
    <row r="254">
      <c r="A254" s="55" t="s">
        <v>501</v>
      </c>
      <c r="B254" s="56"/>
      <c r="C254" s="58"/>
      <c r="D254" s="60">
        <v>3.0</v>
      </c>
      <c r="E254" s="98">
        <f t="shared" si="1"/>
        <v>1</v>
      </c>
      <c r="F254" s="68">
        <f t="shared" si="2"/>
        <v>3</v>
      </c>
      <c r="G254" s="68">
        <f t="shared" si="10"/>
        <v>0</v>
      </c>
      <c r="H254" s="72">
        <f t="shared" si="32"/>
        <v>0</v>
      </c>
      <c r="I254" s="73">
        <v>1.0</v>
      </c>
      <c r="J254" s="74"/>
      <c r="K254" s="75">
        <v>0.1</v>
      </c>
      <c r="L254" s="76">
        <v>0.0</v>
      </c>
      <c r="M254" s="79"/>
      <c r="N254" s="82"/>
      <c r="O254" s="85"/>
    </row>
    <row r="255">
      <c r="A255" s="55" t="s">
        <v>501</v>
      </c>
      <c r="B255" s="56"/>
      <c r="C255" s="58" t="s">
        <v>734</v>
      </c>
      <c r="D255" s="60">
        <v>3.0</v>
      </c>
      <c r="E255" s="98">
        <f t="shared" si="1"/>
        <v>1</v>
      </c>
      <c r="F255" s="68">
        <f t="shared" si="2"/>
        <v>3</v>
      </c>
      <c r="G255" s="68">
        <f t="shared" si="10"/>
        <v>0</v>
      </c>
      <c r="H255" s="72">
        <f t="shared" si="32"/>
        <v>0</v>
      </c>
      <c r="I255" s="73">
        <v>1.0</v>
      </c>
      <c r="J255" s="74"/>
      <c r="K255" s="75">
        <v>0.1</v>
      </c>
      <c r="L255" s="76">
        <v>0.0</v>
      </c>
      <c r="M255" s="79"/>
      <c r="N255" s="82"/>
      <c r="O255" s="85"/>
    </row>
    <row r="256">
      <c r="A256" s="55" t="s">
        <v>501</v>
      </c>
      <c r="B256" s="56"/>
      <c r="C256" s="58" t="s">
        <v>735</v>
      </c>
      <c r="D256" s="60">
        <v>3.0</v>
      </c>
      <c r="E256" s="98">
        <f t="shared" si="1"/>
        <v>1</v>
      </c>
      <c r="F256" s="68">
        <f t="shared" si="2"/>
        <v>3</v>
      </c>
      <c r="G256" s="68">
        <f t="shared" si="10"/>
        <v>0</v>
      </c>
      <c r="H256" s="72">
        <f t="shared" si="32"/>
        <v>0</v>
      </c>
      <c r="I256" s="73">
        <v>1.0</v>
      </c>
      <c r="J256" s="74"/>
      <c r="K256" s="75">
        <v>0.1</v>
      </c>
      <c r="L256" s="76">
        <v>0.0</v>
      </c>
      <c r="M256" s="79"/>
      <c r="N256" s="82"/>
      <c r="O256" s="85"/>
    </row>
    <row r="257">
      <c r="A257" s="55" t="s">
        <v>501</v>
      </c>
      <c r="B257" s="56"/>
      <c r="C257" s="58" t="s">
        <v>737</v>
      </c>
      <c r="D257" s="60">
        <v>3.0</v>
      </c>
      <c r="E257" s="98">
        <f t="shared" si="1"/>
        <v>1</v>
      </c>
      <c r="F257" s="68">
        <f t="shared" si="2"/>
        <v>3</v>
      </c>
      <c r="G257" s="68">
        <f t="shared" si="10"/>
        <v>0</v>
      </c>
      <c r="H257" s="72">
        <f t="shared" si="32"/>
        <v>0</v>
      </c>
      <c r="I257" s="73">
        <v>1.0</v>
      </c>
      <c r="J257" s="74"/>
      <c r="K257" s="75">
        <v>0.1</v>
      </c>
      <c r="L257" s="76">
        <v>0.0</v>
      </c>
      <c r="M257" s="79"/>
      <c r="N257" s="82"/>
      <c r="O257" s="85"/>
    </row>
    <row r="258">
      <c r="A258" s="55" t="s">
        <v>501</v>
      </c>
      <c r="B258" s="56"/>
      <c r="C258" s="58" t="s">
        <v>738</v>
      </c>
      <c r="D258" s="60">
        <v>3.0</v>
      </c>
      <c r="E258" s="98">
        <f t="shared" si="1"/>
        <v>1</v>
      </c>
      <c r="F258" s="68">
        <f t="shared" si="2"/>
        <v>3</v>
      </c>
      <c r="G258" s="68">
        <f t="shared" si="10"/>
        <v>0</v>
      </c>
      <c r="H258" s="72">
        <f t="shared" si="32"/>
        <v>0</v>
      </c>
      <c r="I258" s="73">
        <v>1.0</v>
      </c>
      <c r="J258" s="74"/>
      <c r="K258" s="75">
        <v>0.1</v>
      </c>
      <c r="L258" s="76">
        <v>0.0</v>
      </c>
      <c r="M258" s="79"/>
      <c r="N258" s="82"/>
      <c r="O258" s="85"/>
    </row>
    <row r="259">
      <c r="A259" s="55" t="s">
        <v>501</v>
      </c>
      <c r="B259" s="56"/>
      <c r="C259" s="58" t="s">
        <v>739</v>
      </c>
      <c r="D259" s="60">
        <v>20.0</v>
      </c>
      <c r="E259" s="98">
        <f t="shared" si="1"/>
        <v>0.136</v>
      </c>
      <c r="F259" s="68">
        <f t="shared" si="2"/>
        <v>2.72</v>
      </c>
      <c r="G259" s="68">
        <f t="shared" si="10"/>
        <v>17.28</v>
      </c>
      <c r="H259" s="72">
        <v>15.0</v>
      </c>
      <c r="I259" s="73">
        <v>1.0</v>
      </c>
      <c r="J259" s="74"/>
      <c r="K259" s="75">
        <v>0.1</v>
      </c>
      <c r="L259" s="127">
        <v>0.052</v>
      </c>
      <c r="M259" s="79" t="s">
        <v>152</v>
      </c>
      <c r="N259" s="82"/>
      <c r="O259" s="85"/>
    </row>
    <row r="260">
      <c r="A260" s="55" t="s">
        <v>501</v>
      </c>
      <c r="B260" s="56"/>
      <c r="C260" s="58"/>
      <c r="D260" s="60">
        <v>3.5</v>
      </c>
      <c r="E260" s="98">
        <f t="shared" si="1"/>
        <v>1</v>
      </c>
      <c r="F260" s="68">
        <f t="shared" si="2"/>
        <v>3.5</v>
      </c>
      <c r="G260" s="68">
        <f t="shared" si="10"/>
        <v>0</v>
      </c>
      <c r="H260" s="72">
        <f t="shared" ref="H260:H263" si="33">J260/I260</f>
        <v>0</v>
      </c>
      <c r="I260" s="73">
        <v>1.0</v>
      </c>
      <c r="J260" s="74"/>
      <c r="K260" s="75">
        <v>0.1</v>
      </c>
      <c r="L260" s="76">
        <v>0.0</v>
      </c>
      <c r="M260" s="79"/>
      <c r="N260" s="82"/>
      <c r="O260" s="85"/>
    </row>
    <row r="261">
      <c r="A261" s="55" t="s">
        <v>501</v>
      </c>
      <c r="B261" s="56"/>
      <c r="C261" s="58" t="s">
        <v>740</v>
      </c>
      <c r="D261" s="60">
        <v>3.5</v>
      </c>
      <c r="E261" s="98">
        <f t="shared" si="1"/>
        <v>1</v>
      </c>
      <c r="F261" s="68">
        <f t="shared" si="2"/>
        <v>3.5</v>
      </c>
      <c r="G261" s="68">
        <f t="shared" si="10"/>
        <v>0</v>
      </c>
      <c r="H261" s="72">
        <f t="shared" si="33"/>
        <v>0</v>
      </c>
      <c r="I261" s="73">
        <v>1.0</v>
      </c>
      <c r="J261" s="74"/>
      <c r="K261" s="75">
        <v>0.1</v>
      </c>
      <c r="L261" s="76">
        <v>0.0</v>
      </c>
      <c r="M261" s="79"/>
      <c r="N261" s="82"/>
      <c r="O261" s="85"/>
    </row>
    <row r="262">
      <c r="A262" s="55" t="s">
        <v>501</v>
      </c>
      <c r="B262" s="56"/>
      <c r="C262" s="58" t="s">
        <v>742</v>
      </c>
      <c r="D262" s="60">
        <v>3.0</v>
      </c>
      <c r="E262" s="98">
        <f t="shared" si="1"/>
        <v>1</v>
      </c>
      <c r="F262" s="68">
        <f t="shared" si="2"/>
        <v>3</v>
      </c>
      <c r="G262" s="68">
        <f t="shared" si="10"/>
        <v>0</v>
      </c>
      <c r="H262" s="72">
        <f t="shared" si="33"/>
        <v>0</v>
      </c>
      <c r="I262" s="73">
        <v>1.0</v>
      </c>
      <c r="J262" s="74"/>
      <c r="K262" s="75">
        <v>0.1</v>
      </c>
      <c r="L262" s="76">
        <v>0.0</v>
      </c>
      <c r="M262" s="79"/>
      <c r="N262" s="82"/>
      <c r="O262" s="85"/>
    </row>
    <row r="263">
      <c r="A263" s="55" t="s">
        <v>501</v>
      </c>
      <c r="B263" s="56"/>
      <c r="C263" s="329"/>
      <c r="D263" s="60">
        <v>3.5</v>
      </c>
      <c r="E263" s="98">
        <f t="shared" si="1"/>
        <v>1</v>
      </c>
      <c r="F263" s="68">
        <f t="shared" si="2"/>
        <v>3.5</v>
      </c>
      <c r="G263" s="68">
        <f t="shared" si="10"/>
        <v>0</v>
      </c>
      <c r="H263" s="72">
        <f t="shared" si="33"/>
        <v>0</v>
      </c>
      <c r="I263" s="73">
        <v>1.0</v>
      </c>
      <c r="J263" s="74"/>
      <c r="K263" s="75">
        <v>0.1</v>
      </c>
      <c r="L263" s="76">
        <v>0.0</v>
      </c>
      <c r="M263" s="79"/>
      <c r="N263" s="82"/>
      <c r="O263" s="85"/>
    </row>
    <row r="264">
      <c r="A264" s="160" t="s">
        <v>501</v>
      </c>
      <c r="B264" s="330"/>
      <c r="C264" s="331" t="s">
        <v>743</v>
      </c>
      <c r="D264" s="164">
        <v>3.5</v>
      </c>
      <c r="E264" s="165">
        <f t="shared" si="1"/>
        <v>-6.527142857</v>
      </c>
      <c r="F264" s="166">
        <f t="shared" si="2"/>
        <v>-22.845</v>
      </c>
      <c r="G264" s="166">
        <f t="shared" si="10"/>
        <v>26.345</v>
      </c>
      <c r="H264" s="236">
        <v>23.95</v>
      </c>
      <c r="I264" s="168">
        <v>1.0</v>
      </c>
      <c r="J264" s="169"/>
      <c r="K264" s="170">
        <v>0.1</v>
      </c>
      <c r="L264" s="171">
        <v>0.0</v>
      </c>
      <c r="M264" s="79" t="s">
        <v>744</v>
      </c>
      <c r="N264" s="82"/>
      <c r="O264" s="190"/>
    </row>
    <row r="265">
      <c r="A265" s="307" t="s">
        <v>501</v>
      </c>
      <c r="B265" s="332"/>
      <c r="C265" s="331" t="s">
        <v>745</v>
      </c>
      <c r="D265" s="267">
        <v>3.5</v>
      </c>
      <c r="E265" s="270">
        <f t="shared" si="1"/>
        <v>1</v>
      </c>
      <c r="F265" s="272">
        <f t="shared" si="2"/>
        <v>3.5</v>
      </c>
      <c r="G265" s="272">
        <f t="shared" si="10"/>
        <v>0</v>
      </c>
      <c r="H265" s="276">
        <f>J265/I265</f>
        <v>0</v>
      </c>
      <c r="I265" s="311">
        <v>1.0</v>
      </c>
      <c r="J265" s="279"/>
      <c r="K265" s="281">
        <v>0.1</v>
      </c>
      <c r="L265" s="304">
        <v>0.0</v>
      </c>
      <c r="M265" s="79" t="s">
        <v>744</v>
      </c>
      <c r="N265" s="82"/>
      <c r="O265" s="288"/>
    </row>
    <row r="266">
      <c r="A266" s="307" t="s">
        <v>501</v>
      </c>
      <c r="B266" s="332"/>
      <c r="C266" s="331" t="s">
        <v>748</v>
      </c>
      <c r="D266" s="267">
        <v>3.5</v>
      </c>
      <c r="E266" s="270">
        <f t="shared" si="1"/>
        <v>-5.898571429</v>
      </c>
      <c r="F266" s="272">
        <f t="shared" si="2"/>
        <v>-20.645</v>
      </c>
      <c r="G266" s="272">
        <f t="shared" si="10"/>
        <v>24.145</v>
      </c>
      <c r="H266" s="312">
        <v>21.95</v>
      </c>
      <c r="I266" s="311">
        <v>1.0</v>
      </c>
      <c r="J266" s="279"/>
      <c r="K266" s="281">
        <v>0.1</v>
      </c>
      <c r="L266" s="304">
        <v>0.0</v>
      </c>
      <c r="M266" s="79" t="s">
        <v>744</v>
      </c>
      <c r="N266" s="82"/>
      <c r="O266" s="288"/>
    </row>
    <row r="267">
      <c r="A267" s="307" t="s">
        <v>501</v>
      </c>
      <c r="B267" s="332"/>
      <c r="C267" s="331" t="s">
        <v>749</v>
      </c>
      <c r="D267" s="267">
        <v>3.5</v>
      </c>
      <c r="E267" s="270">
        <f t="shared" si="1"/>
        <v>1</v>
      </c>
      <c r="F267" s="272">
        <f t="shared" si="2"/>
        <v>3.5</v>
      </c>
      <c r="G267" s="272">
        <f t="shared" si="10"/>
        <v>0</v>
      </c>
      <c r="H267" s="276">
        <f t="shared" ref="H267:H271" si="34">J267/I267</f>
        <v>0</v>
      </c>
      <c r="I267" s="311">
        <v>1.0</v>
      </c>
      <c r="J267" s="279"/>
      <c r="K267" s="281">
        <v>0.1</v>
      </c>
      <c r="L267" s="304">
        <v>0.0</v>
      </c>
      <c r="M267" s="79" t="s">
        <v>744</v>
      </c>
      <c r="N267" s="82"/>
      <c r="O267" s="288"/>
    </row>
    <row r="268">
      <c r="A268" s="307" t="s">
        <v>501</v>
      </c>
      <c r="B268" s="332"/>
      <c r="C268" s="331" t="s">
        <v>750</v>
      </c>
      <c r="D268" s="267">
        <v>3.5</v>
      </c>
      <c r="E268" s="270">
        <f t="shared" si="1"/>
        <v>1</v>
      </c>
      <c r="F268" s="272">
        <f t="shared" si="2"/>
        <v>3.5</v>
      </c>
      <c r="G268" s="272">
        <f t="shared" si="10"/>
        <v>0</v>
      </c>
      <c r="H268" s="276">
        <f t="shared" si="34"/>
        <v>0</v>
      </c>
      <c r="I268" s="311">
        <v>1.0</v>
      </c>
      <c r="J268" s="279"/>
      <c r="K268" s="281">
        <v>0.1</v>
      </c>
      <c r="L268" s="304">
        <v>0.0</v>
      </c>
      <c r="M268" s="79" t="s">
        <v>744</v>
      </c>
      <c r="N268" s="82"/>
      <c r="O268" s="288"/>
    </row>
    <row r="269">
      <c r="A269" s="307" t="s">
        <v>501</v>
      </c>
      <c r="B269" s="332"/>
      <c r="C269" s="331" t="s">
        <v>751</v>
      </c>
      <c r="D269" s="267">
        <v>3.5</v>
      </c>
      <c r="E269" s="270">
        <f t="shared" si="1"/>
        <v>1</v>
      </c>
      <c r="F269" s="272">
        <f t="shared" si="2"/>
        <v>3.5</v>
      </c>
      <c r="G269" s="272">
        <f t="shared" si="10"/>
        <v>0</v>
      </c>
      <c r="H269" s="276">
        <f t="shared" si="34"/>
        <v>0</v>
      </c>
      <c r="I269" s="311">
        <v>1.0</v>
      </c>
      <c r="J269" s="279"/>
      <c r="K269" s="281">
        <v>0.1</v>
      </c>
      <c r="L269" s="304">
        <v>0.0</v>
      </c>
      <c r="M269" s="79" t="s">
        <v>744</v>
      </c>
      <c r="N269" s="82"/>
      <c r="O269" s="288"/>
    </row>
    <row r="270">
      <c r="A270" s="307" t="s">
        <v>501</v>
      </c>
      <c r="B270" s="332"/>
      <c r="C270" s="331" t="s">
        <v>753</v>
      </c>
      <c r="D270" s="267">
        <v>3.5</v>
      </c>
      <c r="E270" s="270">
        <f t="shared" si="1"/>
        <v>1</v>
      </c>
      <c r="F270" s="272">
        <f t="shared" si="2"/>
        <v>3.5</v>
      </c>
      <c r="G270" s="272">
        <f t="shared" si="10"/>
        <v>0</v>
      </c>
      <c r="H270" s="276">
        <f t="shared" si="34"/>
        <v>0</v>
      </c>
      <c r="I270" s="311">
        <v>1.0</v>
      </c>
      <c r="J270" s="279"/>
      <c r="K270" s="281">
        <v>0.1</v>
      </c>
      <c r="L270" s="304">
        <v>0.0</v>
      </c>
      <c r="M270" s="79" t="s">
        <v>744</v>
      </c>
      <c r="N270" s="82"/>
      <c r="O270" s="288"/>
    </row>
    <row r="271">
      <c r="A271" s="307" t="s">
        <v>501</v>
      </c>
      <c r="B271" s="332"/>
      <c r="C271" s="334"/>
      <c r="D271" s="267">
        <v>3.5</v>
      </c>
      <c r="E271" s="270">
        <f t="shared" si="1"/>
        <v>1</v>
      </c>
      <c r="F271" s="272">
        <f t="shared" si="2"/>
        <v>3.5</v>
      </c>
      <c r="G271" s="272">
        <f t="shared" si="10"/>
        <v>0</v>
      </c>
      <c r="H271" s="276">
        <f t="shared" si="34"/>
        <v>0</v>
      </c>
      <c r="I271" s="311">
        <v>1.0</v>
      </c>
      <c r="J271" s="279"/>
      <c r="K271" s="281">
        <v>0.1</v>
      </c>
      <c r="L271" s="304">
        <v>0.0</v>
      </c>
      <c r="M271" s="79" t="s">
        <v>744</v>
      </c>
      <c r="N271" s="82"/>
      <c r="O271" s="288"/>
    </row>
    <row r="272">
      <c r="A272" s="307" t="s">
        <v>501</v>
      </c>
      <c r="B272" s="332"/>
      <c r="C272" s="331" t="s">
        <v>754</v>
      </c>
      <c r="D272" s="267">
        <v>3.5</v>
      </c>
      <c r="E272" s="270">
        <f t="shared" si="1"/>
        <v>-2.787142857</v>
      </c>
      <c r="F272" s="272">
        <f t="shared" si="2"/>
        <v>-9.755</v>
      </c>
      <c r="G272" s="272">
        <f t="shared" si="10"/>
        <v>13.255</v>
      </c>
      <c r="H272" s="312">
        <v>12.05</v>
      </c>
      <c r="I272" s="316">
        <v>30.0</v>
      </c>
      <c r="J272" s="279"/>
      <c r="K272" s="281">
        <v>0.1</v>
      </c>
      <c r="L272" s="304">
        <v>0.0</v>
      </c>
      <c r="M272" s="79" t="s">
        <v>744</v>
      </c>
      <c r="N272" s="82"/>
      <c r="O272" s="288"/>
    </row>
    <row r="273">
      <c r="A273" s="307" t="s">
        <v>501</v>
      </c>
      <c r="B273" s="332"/>
      <c r="C273" s="331" t="s">
        <v>755</v>
      </c>
      <c r="D273" s="267">
        <v>3.5</v>
      </c>
      <c r="E273" s="270">
        <f t="shared" si="1"/>
        <v>-2.787142857</v>
      </c>
      <c r="F273" s="272">
        <f t="shared" si="2"/>
        <v>-9.755</v>
      </c>
      <c r="G273" s="272">
        <f t="shared" si="10"/>
        <v>13.255</v>
      </c>
      <c r="H273" s="312">
        <v>12.05</v>
      </c>
      <c r="I273" s="316">
        <v>30.0</v>
      </c>
      <c r="J273" s="279"/>
      <c r="K273" s="281">
        <v>0.1</v>
      </c>
      <c r="L273" s="304">
        <v>0.0</v>
      </c>
      <c r="M273" s="79" t="s">
        <v>744</v>
      </c>
      <c r="N273" s="82"/>
      <c r="O273" s="288"/>
    </row>
    <row r="274">
      <c r="A274" s="307" t="s">
        <v>501</v>
      </c>
      <c r="B274" s="332"/>
      <c r="C274" s="331" t="s">
        <v>756</v>
      </c>
      <c r="D274" s="267">
        <v>3.5</v>
      </c>
      <c r="E274" s="270">
        <f t="shared" si="1"/>
        <v>-2.787142857</v>
      </c>
      <c r="F274" s="272">
        <f t="shared" si="2"/>
        <v>-9.755</v>
      </c>
      <c r="G274" s="272">
        <f t="shared" si="10"/>
        <v>13.255</v>
      </c>
      <c r="H274" s="312">
        <v>12.05</v>
      </c>
      <c r="I274" s="316">
        <v>30.0</v>
      </c>
      <c r="J274" s="279"/>
      <c r="K274" s="281">
        <v>0.1</v>
      </c>
      <c r="L274" s="304">
        <v>0.0</v>
      </c>
      <c r="M274" s="79" t="s">
        <v>744</v>
      </c>
      <c r="N274" s="82"/>
      <c r="O274" s="288"/>
    </row>
    <row r="275">
      <c r="A275" s="307" t="s">
        <v>501</v>
      </c>
      <c r="B275" s="332"/>
      <c r="C275" s="331" t="s">
        <v>760</v>
      </c>
      <c r="D275" s="267">
        <v>3.5</v>
      </c>
      <c r="E275" s="270">
        <f t="shared" si="1"/>
        <v>-2.787142857</v>
      </c>
      <c r="F275" s="272">
        <f t="shared" si="2"/>
        <v>-9.755</v>
      </c>
      <c r="G275" s="272">
        <f t="shared" si="10"/>
        <v>13.255</v>
      </c>
      <c r="H275" s="312">
        <v>12.05</v>
      </c>
      <c r="I275" s="316">
        <v>30.0</v>
      </c>
      <c r="J275" s="279"/>
      <c r="K275" s="281">
        <v>0.1</v>
      </c>
      <c r="L275" s="304">
        <v>0.0</v>
      </c>
      <c r="M275" s="79" t="s">
        <v>744</v>
      </c>
      <c r="N275" s="82"/>
      <c r="O275" s="288"/>
    </row>
    <row r="276">
      <c r="A276" s="307" t="s">
        <v>501</v>
      </c>
      <c r="B276" s="332"/>
      <c r="C276" s="331" t="s">
        <v>761</v>
      </c>
      <c r="D276" s="267">
        <v>1.5</v>
      </c>
      <c r="E276" s="270">
        <f t="shared" si="1"/>
        <v>-7.836666667</v>
      </c>
      <c r="F276" s="272">
        <f t="shared" si="2"/>
        <v>-11.755</v>
      </c>
      <c r="G276" s="272">
        <f t="shared" si="10"/>
        <v>13.255</v>
      </c>
      <c r="H276" s="312">
        <v>12.05</v>
      </c>
      <c r="I276" s="316">
        <v>30.0</v>
      </c>
      <c r="J276" s="279"/>
      <c r="K276" s="281">
        <v>0.1</v>
      </c>
      <c r="L276" s="304">
        <v>0.0</v>
      </c>
      <c r="M276" s="79" t="s">
        <v>744</v>
      </c>
      <c r="N276" s="82"/>
      <c r="O276" s="288"/>
    </row>
    <row r="277">
      <c r="A277" s="55" t="s">
        <v>501</v>
      </c>
      <c r="B277" s="56"/>
      <c r="C277" s="331" t="s">
        <v>762</v>
      </c>
      <c r="D277" s="335">
        <v>3.5</v>
      </c>
      <c r="E277" s="98">
        <f t="shared" si="1"/>
        <v>-2.787142857</v>
      </c>
      <c r="F277" s="68">
        <f t="shared" si="2"/>
        <v>-9.755</v>
      </c>
      <c r="G277" s="68">
        <f t="shared" si="10"/>
        <v>13.255</v>
      </c>
      <c r="H277" s="312">
        <v>12.05</v>
      </c>
      <c r="I277" s="316">
        <v>30.0</v>
      </c>
      <c r="J277" s="74"/>
      <c r="K277" s="75">
        <v>0.1</v>
      </c>
      <c r="L277" s="76">
        <v>0.0</v>
      </c>
      <c r="M277" s="79" t="s">
        <v>744</v>
      </c>
      <c r="N277" s="82"/>
      <c r="O277" s="85"/>
    </row>
    <row r="278">
      <c r="A278" s="55" t="s">
        <v>501</v>
      </c>
      <c r="B278" s="56"/>
      <c r="C278" s="331" t="s">
        <v>763</v>
      </c>
      <c r="D278" s="335">
        <v>3.5</v>
      </c>
      <c r="E278" s="98">
        <f t="shared" si="1"/>
        <v>-2.787142857</v>
      </c>
      <c r="F278" s="68">
        <f t="shared" si="2"/>
        <v>-9.755</v>
      </c>
      <c r="G278" s="68">
        <f t="shared" si="10"/>
        <v>13.255</v>
      </c>
      <c r="H278" s="312">
        <v>12.05</v>
      </c>
      <c r="I278" s="316">
        <v>30.0</v>
      </c>
      <c r="J278" s="74"/>
      <c r="K278" s="75">
        <v>0.1</v>
      </c>
      <c r="L278" s="76">
        <v>0.0</v>
      </c>
      <c r="M278" s="79" t="s">
        <v>744</v>
      </c>
      <c r="N278" s="82"/>
      <c r="O278" s="85"/>
    </row>
    <row r="279">
      <c r="A279" s="55" t="s">
        <v>501</v>
      </c>
      <c r="B279" s="56"/>
      <c r="C279" s="331" t="s">
        <v>764</v>
      </c>
      <c r="D279" s="335">
        <v>3.5</v>
      </c>
      <c r="E279" s="98">
        <f t="shared" si="1"/>
        <v>-2.787142857</v>
      </c>
      <c r="F279" s="68">
        <f t="shared" si="2"/>
        <v>-9.755</v>
      </c>
      <c r="G279" s="68">
        <f t="shared" si="10"/>
        <v>13.255</v>
      </c>
      <c r="H279" s="312">
        <v>12.05</v>
      </c>
      <c r="I279" s="316">
        <v>30.0</v>
      </c>
      <c r="J279" s="74"/>
      <c r="K279" s="75">
        <v>0.1</v>
      </c>
      <c r="L279" s="76">
        <v>0.0</v>
      </c>
      <c r="M279" s="79" t="s">
        <v>744</v>
      </c>
      <c r="N279" s="82"/>
      <c r="O279" s="85"/>
    </row>
    <row r="280">
      <c r="A280" s="160" t="s">
        <v>501</v>
      </c>
      <c r="B280" s="336"/>
      <c r="C280" s="337" t="s">
        <v>766</v>
      </c>
      <c r="D280" s="164">
        <v>3.5</v>
      </c>
      <c r="E280" s="235">
        <f t="shared" si="1"/>
        <v>-0.7128571429</v>
      </c>
      <c r="F280" s="166">
        <f t="shared" si="2"/>
        <v>-2.495</v>
      </c>
      <c r="G280" s="166">
        <f t="shared" si="10"/>
        <v>5.995</v>
      </c>
      <c r="H280" s="264">
        <v>5.45</v>
      </c>
      <c r="I280" s="338">
        <v>100.0</v>
      </c>
      <c r="J280" s="169"/>
      <c r="K280" s="170">
        <v>0.1</v>
      </c>
      <c r="L280" s="171">
        <v>0.0</v>
      </c>
      <c r="M280" s="79" t="s">
        <v>744</v>
      </c>
      <c r="N280" s="82"/>
      <c r="O280" s="190"/>
    </row>
    <row r="281">
      <c r="A281" s="55" t="s">
        <v>501</v>
      </c>
      <c r="B281" s="56"/>
      <c r="C281" s="331" t="s">
        <v>768</v>
      </c>
      <c r="D281" s="335">
        <v>3.5</v>
      </c>
      <c r="E281" s="98">
        <f t="shared" si="1"/>
        <v>-2.787142857</v>
      </c>
      <c r="F281" s="68">
        <f t="shared" si="2"/>
        <v>-9.755</v>
      </c>
      <c r="G281" s="68">
        <f t="shared" si="10"/>
        <v>13.255</v>
      </c>
      <c r="H281" s="312">
        <v>12.05</v>
      </c>
      <c r="I281" s="316">
        <v>30.0</v>
      </c>
      <c r="J281" s="74"/>
      <c r="K281" s="75">
        <v>0.1</v>
      </c>
      <c r="L281" s="76">
        <v>0.0</v>
      </c>
      <c r="M281" s="79" t="s">
        <v>744</v>
      </c>
      <c r="N281" s="82"/>
      <c r="O281" s="85"/>
    </row>
    <row r="282">
      <c r="A282" s="55" t="s">
        <v>501</v>
      </c>
      <c r="B282" s="56"/>
      <c r="C282" s="331" t="s">
        <v>769</v>
      </c>
      <c r="D282" s="335">
        <v>3.5</v>
      </c>
      <c r="E282" s="98">
        <f t="shared" si="1"/>
        <v>-2.787142857</v>
      </c>
      <c r="F282" s="68">
        <f t="shared" si="2"/>
        <v>-9.755</v>
      </c>
      <c r="G282" s="68">
        <f t="shared" si="10"/>
        <v>13.255</v>
      </c>
      <c r="H282" s="312">
        <v>12.05</v>
      </c>
      <c r="I282" s="316">
        <v>30.0</v>
      </c>
      <c r="J282" s="74"/>
      <c r="K282" s="75">
        <v>0.1</v>
      </c>
      <c r="L282" s="76">
        <v>0.0</v>
      </c>
      <c r="M282" s="79" t="s">
        <v>744</v>
      </c>
      <c r="N282" s="82"/>
      <c r="O282" s="85"/>
    </row>
    <row r="283">
      <c r="A283" s="160" t="s">
        <v>501</v>
      </c>
      <c r="B283" s="336"/>
      <c r="C283" s="337" t="s">
        <v>770</v>
      </c>
      <c r="D283" s="164">
        <v>3.5</v>
      </c>
      <c r="E283" s="235">
        <f t="shared" si="1"/>
        <v>-0.7128571429</v>
      </c>
      <c r="F283" s="166">
        <f t="shared" si="2"/>
        <v>-2.495</v>
      </c>
      <c r="G283" s="166">
        <f t="shared" si="10"/>
        <v>5.995</v>
      </c>
      <c r="H283" s="264">
        <v>5.45</v>
      </c>
      <c r="I283" s="338">
        <v>100.0</v>
      </c>
      <c r="J283" s="169"/>
      <c r="K283" s="170">
        <v>0.1</v>
      </c>
      <c r="L283" s="171">
        <v>0.0</v>
      </c>
      <c r="M283" s="79" t="s">
        <v>744</v>
      </c>
      <c r="N283" s="82"/>
      <c r="O283" s="190"/>
    </row>
    <row r="284">
      <c r="A284" s="55" t="s">
        <v>501</v>
      </c>
      <c r="B284" s="56"/>
      <c r="C284" s="331" t="s">
        <v>772</v>
      </c>
      <c r="D284" s="335">
        <v>3.5</v>
      </c>
      <c r="E284" s="98">
        <f t="shared" si="1"/>
        <v>-2.787142857</v>
      </c>
      <c r="F284" s="68">
        <f t="shared" si="2"/>
        <v>-9.755</v>
      </c>
      <c r="G284" s="68">
        <f t="shared" si="10"/>
        <v>13.255</v>
      </c>
      <c r="H284" s="312">
        <v>12.05</v>
      </c>
      <c r="I284" s="316">
        <v>30.0</v>
      </c>
      <c r="J284" s="74"/>
      <c r="K284" s="75">
        <v>0.1</v>
      </c>
      <c r="L284" s="76">
        <v>0.0</v>
      </c>
      <c r="M284" s="79" t="s">
        <v>744</v>
      </c>
      <c r="N284" s="82"/>
      <c r="O284" s="85"/>
    </row>
    <row r="285">
      <c r="A285" s="160" t="s">
        <v>501</v>
      </c>
      <c r="B285" s="330"/>
      <c r="C285" s="331" t="s">
        <v>773</v>
      </c>
      <c r="D285" s="164">
        <v>3.5</v>
      </c>
      <c r="E285" s="165">
        <f t="shared" si="1"/>
        <v>-2.787142857</v>
      </c>
      <c r="F285" s="166">
        <f t="shared" si="2"/>
        <v>-9.755</v>
      </c>
      <c r="G285" s="166">
        <f t="shared" si="10"/>
        <v>13.255</v>
      </c>
      <c r="H285" s="312">
        <v>12.05</v>
      </c>
      <c r="I285" s="316">
        <v>30.0</v>
      </c>
      <c r="J285" s="169"/>
      <c r="K285" s="170">
        <v>0.1</v>
      </c>
      <c r="L285" s="171">
        <v>0.0</v>
      </c>
      <c r="M285" s="79" t="s">
        <v>744</v>
      </c>
      <c r="N285" s="82"/>
      <c r="O285" s="190"/>
    </row>
    <row r="286">
      <c r="A286" s="307" t="s">
        <v>501</v>
      </c>
      <c r="B286" s="332"/>
      <c r="C286" s="331" t="s">
        <v>774</v>
      </c>
      <c r="D286" s="267">
        <v>3.5</v>
      </c>
      <c r="E286" s="270">
        <f t="shared" si="1"/>
        <v>-2.787142857</v>
      </c>
      <c r="F286" s="272">
        <f t="shared" si="2"/>
        <v>-9.755</v>
      </c>
      <c r="G286" s="272">
        <f t="shared" si="10"/>
        <v>13.255</v>
      </c>
      <c r="H286" s="312">
        <v>12.05</v>
      </c>
      <c r="I286" s="316">
        <v>30.0</v>
      </c>
      <c r="J286" s="279"/>
      <c r="K286" s="281">
        <v>0.1</v>
      </c>
      <c r="L286" s="304">
        <v>0.0</v>
      </c>
      <c r="M286" s="79" t="s">
        <v>744</v>
      </c>
      <c r="N286" s="82"/>
      <c r="O286" s="288"/>
    </row>
    <row r="287">
      <c r="A287" s="307" t="s">
        <v>501</v>
      </c>
      <c r="B287" s="332"/>
      <c r="C287" s="331" t="s">
        <v>775</v>
      </c>
      <c r="D287" s="267">
        <v>3.5</v>
      </c>
      <c r="E287" s="270">
        <f t="shared" si="1"/>
        <v>-2.787142857</v>
      </c>
      <c r="F287" s="272">
        <f t="shared" si="2"/>
        <v>-9.755</v>
      </c>
      <c r="G287" s="272">
        <f t="shared" si="10"/>
        <v>13.255</v>
      </c>
      <c r="H287" s="312">
        <v>12.05</v>
      </c>
      <c r="I287" s="316">
        <v>30.0</v>
      </c>
      <c r="J287" s="279"/>
      <c r="K287" s="281">
        <v>0.1</v>
      </c>
      <c r="L287" s="304">
        <v>0.0</v>
      </c>
      <c r="M287" s="79" t="s">
        <v>744</v>
      </c>
      <c r="N287" s="82"/>
      <c r="O287" s="288"/>
    </row>
    <row r="288">
      <c r="A288" s="55" t="s">
        <v>501</v>
      </c>
      <c r="B288" s="56"/>
      <c r="C288" s="331" t="s">
        <v>776</v>
      </c>
      <c r="D288" s="335">
        <v>3.5</v>
      </c>
      <c r="E288" s="98">
        <f t="shared" si="1"/>
        <v>-2.787142857</v>
      </c>
      <c r="F288" s="68">
        <f t="shared" si="2"/>
        <v>-9.755</v>
      </c>
      <c r="G288" s="68">
        <f t="shared" si="10"/>
        <v>13.255</v>
      </c>
      <c r="H288" s="312">
        <v>12.05</v>
      </c>
      <c r="I288" s="316">
        <v>30.0</v>
      </c>
      <c r="J288" s="74"/>
      <c r="K288" s="75">
        <v>0.1</v>
      </c>
      <c r="L288" s="76">
        <v>0.0</v>
      </c>
      <c r="M288" s="79" t="s">
        <v>744</v>
      </c>
      <c r="N288" s="82"/>
      <c r="O288" s="85"/>
    </row>
    <row r="289">
      <c r="A289" s="55" t="s">
        <v>501</v>
      </c>
      <c r="B289" s="56"/>
      <c r="C289" s="331" t="s">
        <v>777</v>
      </c>
      <c r="D289" s="335">
        <v>3.5</v>
      </c>
      <c r="E289" s="98">
        <f t="shared" si="1"/>
        <v>-2.787142857</v>
      </c>
      <c r="F289" s="68">
        <f t="shared" si="2"/>
        <v>-9.755</v>
      </c>
      <c r="G289" s="68">
        <f t="shared" si="10"/>
        <v>13.255</v>
      </c>
      <c r="H289" s="312">
        <v>12.05</v>
      </c>
      <c r="I289" s="316">
        <v>30.0</v>
      </c>
      <c r="J289" s="74"/>
      <c r="K289" s="75">
        <v>0.1</v>
      </c>
      <c r="L289" s="76">
        <v>0.0</v>
      </c>
      <c r="M289" s="79" t="s">
        <v>744</v>
      </c>
      <c r="N289" s="82"/>
      <c r="O289" s="85"/>
    </row>
    <row r="290">
      <c r="A290" s="55" t="s">
        <v>501</v>
      </c>
      <c r="B290" s="56"/>
      <c r="C290" s="331" t="s">
        <v>779</v>
      </c>
      <c r="D290" s="335">
        <v>3.5</v>
      </c>
      <c r="E290" s="98">
        <f t="shared" si="1"/>
        <v>-2.787142857</v>
      </c>
      <c r="F290" s="68">
        <f t="shared" si="2"/>
        <v>-9.755</v>
      </c>
      <c r="G290" s="68">
        <f t="shared" si="10"/>
        <v>13.255</v>
      </c>
      <c r="H290" s="312">
        <v>12.05</v>
      </c>
      <c r="I290" s="316">
        <v>30.0</v>
      </c>
      <c r="J290" s="74"/>
      <c r="K290" s="75">
        <v>0.1</v>
      </c>
      <c r="L290" s="76">
        <v>0.0</v>
      </c>
      <c r="M290" s="79" t="s">
        <v>744</v>
      </c>
      <c r="N290" s="82"/>
      <c r="O290" s="85"/>
    </row>
    <row r="291">
      <c r="A291" s="55" t="s">
        <v>501</v>
      </c>
      <c r="B291" s="56"/>
      <c r="C291" s="331" t="s">
        <v>780</v>
      </c>
      <c r="D291" s="335">
        <v>3.5</v>
      </c>
      <c r="E291" s="98">
        <f t="shared" si="1"/>
        <v>-2.787142857</v>
      </c>
      <c r="F291" s="68">
        <f t="shared" si="2"/>
        <v>-9.755</v>
      </c>
      <c r="G291" s="68">
        <f t="shared" si="10"/>
        <v>13.255</v>
      </c>
      <c r="H291" s="312">
        <v>12.05</v>
      </c>
      <c r="I291" s="316">
        <v>30.0</v>
      </c>
      <c r="J291" s="74"/>
      <c r="K291" s="75">
        <v>0.1</v>
      </c>
      <c r="L291" s="76">
        <v>0.0</v>
      </c>
      <c r="M291" s="79" t="s">
        <v>744</v>
      </c>
      <c r="N291" s="82"/>
      <c r="O291" s="85"/>
    </row>
    <row r="292">
      <c r="A292" s="55" t="s">
        <v>501</v>
      </c>
      <c r="B292" s="56"/>
      <c r="C292" s="331" t="s">
        <v>781</v>
      </c>
      <c r="D292" s="335">
        <v>3.5</v>
      </c>
      <c r="E292" s="98">
        <f t="shared" si="1"/>
        <v>-2.787142857</v>
      </c>
      <c r="F292" s="68">
        <f t="shared" si="2"/>
        <v>-9.755</v>
      </c>
      <c r="G292" s="68">
        <f t="shared" si="10"/>
        <v>13.255</v>
      </c>
      <c r="H292" s="312">
        <v>12.05</v>
      </c>
      <c r="I292" s="316">
        <v>30.0</v>
      </c>
      <c r="J292" s="74"/>
      <c r="K292" s="75">
        <v>0.1</v>
      </c>
      <c r="L292" s="76">
        <v>0.0</v>
      </c>
      <c r="M292" s="79" t="s">
        <v>744</v>
      </c>
      <c r="N292" s="82"/>
      <c r="O292" s="85"/>
    </row>
    <row r="293">
      <c r="A293" s="55" t="s">
        <v>501</v>
      </c>
      <c r="B293" s="56"/>
      <c r="C293" s="331" t="s">
        <v>782</v>
      </c>
      <c r="D293" s="335">
        <v>3.5</v>
      </c>
      <c r="E293" s="98">
        <f t="shared" si="1"/>
        <v>-2.787142857</v>
      </c>
      <c r="F293" s="68">
        <f t="shared" si="2"/>
        <v>-9.755</v>
      </c>
      <c r="G293" s="68">
        <f t="shared" si="10"/>
        <v>13.255</v>
      </c>
      <c r="H293" s="312">
        <v>12.05</v>
      </c>
      <c r="I293" s="316">
        <v>30.0</v>
      </c>
      <c r="J293" s="74"/>
      <c r="K293" s="75">
        <v>0.1</v>
      </c>
      <c r="L293" s="76">
        <v>0.0</v>
      </c>
      <c r="M293" s="79" t="s">
        <v>744</v>
      </c>
      <c r="N293" s="82"/>
      <c r="O293" s="85"/>
    </row>
    <row r="294">
      <c r="A294" s="55" t="s">
        <v>501</v>
      </c>
      <c r="B294" s="56"/>
      <c r="C294" s="64"/>
      <c r="D294" s="60">
        <v>1.5</v>
      </c>
      <c r="E294" s="66">
        <f t="shared" si="1"/>
        <v>1</v>
      </c>
      <c r="F294" s="68">
        <f t="shared" si="2"/>
        <v>1.5</v>
      </c>
      <c r="G294" s="68">
        <f t="shared" si="10"/>
        <v>0</v>
      </c>
      <c r="H294" s="72">
        <f t="shared" ref="H294:H295" si="35">J294/I294</f>
        <v>0</v>
      </c>
      <c r="I294" s="73">
        <v>1.0</v>
      </c>
      <c r="J294" s="74"/>
      <c r="K294" s="75">
        <v>0.1</v>
      </c>
      <c r="L294" s="76">
        <v>0.0</v>
      </c>
      <c r="M294" s="79"/>
      <c r="N294" s="82"/>
      <c r="O294" s="85"/>
    </row>
    <row r="295">
      <c r="A295" s="57" t="s">
        <v>501</v>
      </c>
      <c r="B295" s="59"/>
      <c r="C295" s="114"/>
      <c r="D295" s="116">
        <v>1.0</v>
      </c>
      <c r="E295" s="69">
        <f t="shared" si="1"/>
        <v>1</v>
      </c>
      <c r="F295" s="117">
        <f t="shared" si="2"/>
        <v>1</v>
      </c>
      <c r="G295" s="117">
        <f t="shared" si="10"/>
        <v>0</v>
      </c>
      <c r="H295" s="118">
        <f t="shared" si="35"/>
        <v>0</v>
      </c>
      <c r="I295" s="119">
        <v>1.0</v>
      </c>
      <c r="J295" s="108"/>
      <c r="K295" s="120">
        <v>0.1</v>
      </c>
      <c r="L295" s="157">
        <v>0.0</v>
      </c>
      <c r="M295" s="122"/>
      <c r="N295" s="123"/>
      <c r="O295" s="125"/>
    </row>
  </sheetData>
  <mergeCells count="311">
    <mergeCell ref="A1:B3"/>
    <mergeCell ref="C1:C3"/>
    <mergeCell ref="M1:N1"/>
    <mergeCell ref="F2:F3"/>
    <mergeCell ref="I2:I3"/>
    <mergeCell ref="K2:K3"/>
    <mergeCell ref="L2:L3"/>
    <mergeCell ref="A5:B5"/>
    <mergeCell ref="D5:D6"/>
    <mergeCell ref="E5:F5"/>
    <mergeCell ref="K5:K6"/>
    <mergeCell ref="M5:N6"/>
    <mergeCell ref="O5:O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5:N105"/>
    <mergeCell ref="M106:N106"/>
    <mergeCell ref="M104:N104"/>
    <mergeCell ref="M107:N107"/>
    <mergeCell ref="M99:N99"/>
    <mergeCell ref="M100:N100"/>
    <mergeCell ref="M101:N101"/>
    <mergeCell ref="M102:N102"/>
    <mergeCell ref="A106:B106"/>
    <mergeCell ref="A107:B107"/>
    <mergeCell ref="A108:B108"/>
    <mergeCell ref="A112:B112"/>
    <mergeCell ref="A113:B113"/>
    <mergeCell ref="A114:B114"/>
    <mergeCell ref="A109:B109"/>
    <mergeCell ref="M109:N109"/>
    <mergeCell ref="A110:B110"/>
    <mergeCell ref="M110:N110"/>
    <mergeCell ref="A111:B111"/>
    <mergeCell ref="M111:N111"/>
    <mergeCell ref="M112:N112"/>
    <mergeCell ref="M103:N103"/>
    <mergeCell ref="M108:N108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93:N293"/>
    <mergeCell ref="M294:N294"/>
    <mergeCell ref="M295:N295"/>
    <mergeCell ref="M286:N286"/>
    <mergeCell ref="M287:N287"/>
    <mergeCell ref="M288:N288"/>
    <mergeCell ref="M289:N289"/>
    <mergeCell ref="M290:N290"/>
    <mergeCell ref="M291:N291"/>
    <mergeCell ref="M292:N292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</mergeCells>
  <conditionalFormatting sqref="E7:E295">
    <cfRule type="cellIs" dxfId="0" priority="1" operator="lessThan">
      <formula>0</formula>
    </cfRule>
  </conditionalFormatting>
  <dataValidations>
    <dataValidation type="list" allowBlank="1" sqref="K2 O2 K7:K295">
      <formula1>'Carro de Compra - La Parròquia'!$D$2:$D$3</formula1>
    </dataValidation>
    <dataValidation type="list" allowBlank="1" sqref="L2 L7:L295">
      <formula1>'Carro de Compra - La Parròquia'!$E$2:$E$4</formula1>
    </dataValidation>
  </dataValidations>
  <printOptions gridLines="1" horizontalCentered="1"/>
  <pageMargins bottom="0.6" footer="0.0" header="0.0" left="1.1811066006103306" right="1.968503937007874" top="0.6"/>
  <pageSetup paperSize="9" scale="5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3.88"/>
    <col customWidth="1" min="4" max="4" width="6.38"/>
    <col customWidth="1" min="5" max="5" width="7.63"/>
    <col customWidth="1" min="6" max="6" width="5.88" outlineLevel="1"/>
    <col customWidth="1" min="7" max="9" width="7.63" outlineLevel="1"/>
    <col customWidth="1" min="10" max="11" width="6.38" outlineLevel="1"/>
    <col customWidth="1" min="12" max="13" width="7.63" outlineLevel="1"/>
    <col customWidth="1" min="14" max="15" width="8.88" outlineLevel="1"/>
    <col customWidth="1" min="16" max="16" width="16.38" outlineLevel="1"/>
  </cols>
  <sheetData>
    <row r="1" outlineLevel="1">
      <c r="A1" s="1"/>
      <c r="C1" s="2" t="s">
        <v>0</v>
      </c>
      <c r="E1" s="3"/>
      <c r="F1" s="3" t="s">
        <v>1</v>
      </c>
      <c r="G1" s="4" t="s">
        <v>2</v>
      </c>
      <c r="H1" s="4" t="s">
        <v>3</v>
      </c>
      <c r="I1" s="5" t="s">
        <v>4</v>
      </c>
      <c r="J1" s="4" t="s">
        <v>5</v>
      </c>
      <c r="K1" s="4" t="s">
        <v>7</v>
      </c>
      <c r="L1" s="4" t="s">
        <v>8</v>
      </c>
      <c r="M1" s="4" t="s">
        <v>9</v>
      </c>
      <c r="N1" s="6" t="s">
        <v>10</v>
      </c>
      <c r="P1" s="4" t="s">
        <v>8</v>
      </c>
    </row>
    <row r="2" outlineLevel="1">
      <c r="E2" s="7">
        <v>0.21</v>
      </c>
      <c r="F2" s="7">
        <v>0.052</v>
      </c>
      <c r="G2" s="8">
        <v>1.0</v>
      </c>
      <c r="H2" s="10">
        <f>I2+(I2*L2)+(I2*M2)</f>
        <v>1.21</v>
      </c>
      <c r="I2" s="11">
        <v>1.0</v>
      </c>
      <c r="J2" s="12">
        <v>1.0</v>
      </c>
      <c r="K2" s="13">
        <f>G2*J2*I2</f>
        <v>1</v>
      </c>
      <c r="L2" s="15">
        <v>0.21</v>
      </c>
      <c r="M2" s="16">
        <v>0.0</v>
      </c>
      <c r="N2" s="17" t="s">
        <v>12</v>
      </c>
      <c r="O2" s="18">
        <v>1.21</v>
      </c>
      <c r="P2" s="19">
        <v>0.21</v>
      </c>
    </row>
    <row r="3" ht="15.75" customHeight="1" outlineLevel="1">
      <c r="A3" s="20"/>
      <c r="B3" s="20"/>
      <c r="C3" s="20"/>
      <c r="D3" s="20"/>
      <c r="E3" s="7">
        <v>0.1</v>
      </c>
      <c r="F3" s="7">
        <v>0.014</v>
      </c>
      <c r="G3" s="21"/>
      <c r="H3" s="10">
        <f>I3+(I3*L2)+(I3*M2)</f>
        <v>1.4641</v>
      </c>
      <c r="I3" s="22">
        <f>K3/(G2*J2)</f>
        <v>1.21</v>
      </c>
      <c r="J3" s="23"/>
      <c r="K3" s="24">
        <v>1.21</v>
      </c>
      <c r="L3" s="25"/>
      <c r="M3" s="26"/>
      <c r="N3" s="28" t="s">
        <v>4</v>
      </c>
      <c r="O3" s="29">
        <f>O2/E4</f>
        <v>1</v>
      </c>
      <c r="P3" s="31">
        <f>O3</f>
        <v>1</v>
      </c>
    </row>
    <row r="4" ht="5.25" customHeight="1" outlineLevel="1">
      <c r="A4" s="32"/>
      <c r="B4" s="32"/>
      <c r="C4" s="34"/>
      <c r="D4" s="34"/>
      <c r="E4" s="35">
        <f>IFS($P$2=21%,1.21,$P$2=10%,1.1)</f>
        <v>1.21</v>
      </c>
      <c r="F4" s="35">
        <v>0.0</v>
      </c>
      <c r="G4" s="36"/>
      <c r="H4" s="36"/>
      <c r="I4" s="36"/>
      <c r="J4" s="36"/>
      <c r="K4" s="36"/>
      <c r="L4" s="36"/>
      <c r="M4" s="36"/>
      <c r="N4" s="36"/>
      <c r="O4" s="36"/>
      <c r="P4" s="36"/>
    </row>
    <row r="5">
      <c r="A5" s="37" t="s">
        <v>13</v>
      </c>
      <c r="B5" s="38"/>
      <c r="C5" s="39" t="s">
        <v>0</v>
      </c>
      <c r="D5" s="41" t="s">
        <v>14</v>
      </c>
      <c r="E5" s="40" t="s">
        <v>12</v>
      </c>
      <c r="F5" s="42" t="s">
        <v>15</v>
      </c>
      <c r="G5" s="43"/>
      <c r="H5" s="44" t="s">
        <v>16</v>
      </c>
      <c r="I5" s="45" t="s">
        <v>17</v>
      </c>
      <c r="J5" s="46" t="s">
        <v>18</v>
      </c>
      <c r="K5" s="41" t="s">
        <v>19</v>
      </c>
      <c r="L5" s="47" t="s">
        <v>8</v>
      </c>
      <c r="M5" s="48" t="s">
        <v>20</v>
      </c>
      <c r="N5" s="47" t="s">
        <v>21</v>
      </c>
      <c r="O5" s="49"/>
      <c r="P5" s="47" t="s">
        <v>22</v>
      </c>
    </row>
    <row r="6">
      <c r="A6" s="41" t="s">
        <v>23</v>
      </c>
      <c r="B6" s="41" t="s">
        <v>24</v>
      </c>
      <c r="C6" s="41" t="s">
        <v>31</v>
      </c>
      <c r="D6" s="50"/>
      <c r="E6" s="51"/>
      <c r="F6" s="52" t="s">
        <v>27</v>
      </c>
      <c r="G6" s="41" t="s">
        <v>28</v>
      </c>
      <c r="H6" s="44" t="s">
        <v>29</v>
      </c>
      <c r="I6" s="53" t="s">
        <v>30</v>
      </c>
      <c r="J6" s="46" t="s">
        <v>32</v>
      </c>
      <c r="K6" s="41" t="s">
        <v>32</v>
      </c>
      <c r="L6" s="54"/>
      <c r="M6" s="48" t="s">
        <v>9</v>
      </c>
      <c r="N6" s="54"/>
      <c r="O6" s="49"/>
      <c r="P6" s="54"/>
    </row>
    <row r="7">
      <c r="A7" s="57" t="s">
        <v>37</v>
      </c>
      <c r="B7" s="59" t="s">
        <v>40</v>
      </c>
      <c r="C7" s="61" t="s">
        <v>41</v>
      </c>
      <c r="D7" s="62"/>
      <c r="E7" s="63">
        <v>2.0</v>
      </c>
      <c r="F7" s="69">
        <f t="shared" ref="F7:F47" si="1">IF(E7="","",G7/E7)</f>
        <v>1</v>
      </c>
      <c r="G7" s="71">
        <f t="shared" ref="G7:G47" si="2">E7-H7</f>
        <v>2</v>
      </c>
      <c r="H7" s="71">
        <f t="shared" ref="H7:H47" si="3">I7+(I7*L7)+(I7*M7)</f>
        <v>0</v>
      </c>
      <c r="I7" s="81">
        <f t="shared" ref="I7:I14" si="4">K7/J7</f>
        <v>0</v>
      </c>
      <c r="J7" s="83">
        <v>1.0</v>
      </c>
      <c r="K7" s="86"/>
      <c r="L7" s="89">
        <v>0.1</v>
      </c>
      <c r="M7" s="92">
        <v>0.014</v>
      </c>
      <c r="N7" s="93"/>
      <c r="O7" s="95"/>
      <c r="P7" s="97"/>
    </row>
    <row r="8">
      <c r="A8" s="55" t="s">
        <v>37</v>
      </c>
      <c r="B8" s="56" t="s">
        <v>48</v>
      </c>
      <c r="C8" s="64" t="s">
        <v>49</v>
      </c>
      <c r="D8" s="65"/>
      <c r="E8" s="67">
        <v>2.5</v>
      </c>
      <c r="F8" s="66">
        <f t="shared" si="1"/>
        <v>0.367248</v>
      </c>
      <c r="G8" s="70">
        <f t="shared" si="2"/>
        <v>0.91812</v>
      </c>
      <c r="H8" s="70">
        <f t="shared" si="3"/>
        <v>1.58188</v>
      </c>
      <c r="I8" s="77">
        <f t="shared" si="4"/>
        <v>1.42</v>
      </c>
      <c r="J8" s="78">
        <v>12.0</v>
      </c>
      <c r="K8" s="80">
        <v>17.04</v>
      </c>
      <c r="L8" s="84">
        <v>0.1</v>
      </c>
      <c r="M8" s="87">
        <v>0.014</v>
      </c>
      <c r="N8" s="88"/>
      <c r="O8" s="90"/>
      <c r="P8" s="91"/>
    </row>
    <row r="9">
      <c r="A9" s="55" t="s">
        <v>37</v>
      </c>
      <c r="B9" s="56" t="s">
        <v>48</v>
      </c>
      <c r="C9" s="64" t="s">
        <v>55</v>
      </c>
      <c r="D9" s="65"/>
      <c r="E9" s="67">
        <v>2.5</v>
      </c>
      <c r="F9" s="66">
        <f t="shared" si="1"/>
        <v>1</v>
      </c>
      <c r="G9" s="70">
        <f t="shared" si="2"/>
        <v>2.5</v>
      </c>
      <c r="H9" s="70">
        <f t="shared" si="3"/>
        <v>0</v>
      </c>
      <c r="I9" s="77">
        <f t="shared" si="4"/>
        <v>0</v>
      </c>
      <c r="J9" s="78">
        <v>1.0</v>
      </c>
      <c r="K9" s="80"/>
      <c r="L9" s="84">
        <v>0.1</v>
      </c>
      <c r="M9" s="87">
        <v>0.014</v>
      </c>
      <c r="N9" s="88"/>
      <c r="O9" s="90"/>
      <c r="P9" s="91"/>
    </row>
    <row r="10">
      <c r="A10" s="99" t="s">
        <v>37</v>
      </c>
      <c r="B10" s="100" t="s">
        <v>48</v>
      </c>
      <c r="C10" s="101" t="s">
        <v>59</v>
      </c>
      <c r="D10" s="102"/>
      <c r="E10" s="103">
        <v>2.5</v>
      </c>
      <c r="F10" s="104">
        <f t="shared" si="1"/>
        <v>0.425176</v>
      </c>
      <c r="G10" s="105">
        <f t="shared" si="2"/>
        <v>1.06294</v>
      </c>
      <c r="H10" s="105">
        <f t="shared" si="3"/>
        <v>1.43706</v>
      </c>
      <c r="I10" s="106">
        <f t="shared" si="4"/>
        <v>1.29</v>
      </c>
      <c r="J10" s="107">
        <v>12.0</v>
      </c>
      <c r="K10" s="108">
        <v>15.48</v>
      </c>
      <c r="L10" s="109">
        <v>0.1</v>
      </c>
      <c r="M10" s="110">
        <v>0.014</v>
      </c>
      <c r="N10" s="93"/>
      <c r="O10" s="95"/>
      <c r="P10" s="111"/>
    </row>
    <row r="11">
      <c r="A11" s="112" t="s">
        <v>37</v>
      </c>
      <c r="B11" s="113" t="s">
        <v>48</v>
      </c>
      <c r="C11" s="114" t="s">
        <v>67</v>
      </c>
      <c r="D11" s="115"/>
      <c r="E11" s="116">
        <v>2.5</v>
      </c>
      <c r="F11" s="69">
        <f t="shared" si="1"/>
        <v>1</v>
      </c>
      <c r="G11" s="117">
        <f t="shared" si="2"/>
        <v>2.5</v>
      </c>
      <c r="H11" s="117">
        <f t="shared" si="3"/>
        <v>0</v>
      </c>
      <c r="I11" s="118">
        <f t="shared" si="4"/>
        <v>0</v>
      </c>
      <c r="J11" s="119">
        <v>1.0</v>
      </c>
      <c r="K11" s="108"/>
      <c r="L11" s="120">
        <v>0.1</v>
      </c>
      <c r="M11" s="121">
        <v>0.014</v>
      </c>
      <c r="N11" s="122"/>
      <c r="O11" s="123"/>
      <c r="P11" s="125"/>
    </row>
    <row r="12">
      <c r="A12" s="55" t="s">
        <v>37</v>
      </c>
      <c r="B12" s="56" t="s">
        <v>73</v>
      </c>
      <c r="C12" s="64" t="s">
        <v>74</v>
      </c>
      <c r="D12" s="65"/>
      <c r="E12" s="67">
        <v>2.0</v>
      </c>
      <c r="F12" s="66">
        <f t="shared" si="1"/>
        <v>0.50984</v>
      </c>
      <c r="G12" s="70">
        <f t="shared" si="2"/>
        <v>1.01968</v>
      </c>
      <c r="H12" s="70">
        <f t="shared" si="3"/>
        <v>0.98032</v>
      </c>
      <c r="I12" s="77">
        <f t="shared" si="4"/>
        <v>0.88</v>
      </c>
      <c r="J12" s="78">
        <v>12.0</v>
      </c>
      <c r="K12" s="80">
        <v>10.56</v>
      </c>
      <c r="L12" s="84">
        <v>0.1</v>
      </c>
      <c r="M12" s="87">
        <v>0.014</v>
      </c>
      <c r="N12" s="88"/>
      <c r="O12" s="90"/>
      <c r="P12" s="91"/>
    </row>
    <row r="13">
      <c r="A13" s="94" t="s">
        <v>37</v>
      </c>
      <c r="B13" s="96" t="s">
        <v>73</v>
      </c>
      <c r="C13" s="58" t="s">
        <v>78</v>
      </c>
      <c r="D13" s="126"/>
      <c r="E13" s="60">
        <v>2.0</v>
      </c>
      <c r="F13" s="66">
        <f t="shared" si="1"/>
        <v>0.45414</v>
      </c>
      <c r="G13" s="68">
        <f t="shared" si="2"/>
        <v>0.90828</v>
      </c>
      <c r="H13" s="68">
        <f t="shared" si="3"/>
        <v>1.09172</v>
      </c>
      <c r="I13" s="72">
        <f t="shared" si="4"/>
        <v>0.98</v>
      </c>
      <c r="J13" s="73">
        <v>12.0</v>
      </c>
      <c r="K13" s="74">
        <v>11.76</v>
      </c>
      <c r="L13" s="75">
        <v>0.1</v>
      </c>
      <c r="M13" s="127">
        <v>0.014</v>
      </c>
      <c r="N13" s="79"/>
      <c r="O13" s="82"/>
      <c r="P13" s="85"/>
    </row>
    <row r="14">
      <c r="A14" s="112" t="s">
        <v>37</v>
      </c>
      <c r="B14" s="113" t="s">
        <v>73</v>
      </c>
      <c r="C14" s="114" t="s">
        <v>84</v>
      </c>
      <c r="D14" s="115"/>
      <c r="E14" s="116">
        <v>2.0</v>
      </c>
      <c r="F14" s="69">
        <f t="shared" si="1"/>
        <v>0.50984</v>
      </c>
      <c r="G14" s="117">
        <f t="shared" si="2"/>
        <v>1.01968</v>
      </c>
      <c r="H14" s="117">
        <f t="shared" si="3"/>
        <v>0.98032</v>
      </c>
      <c r="I14" s="118">
        <f t="shared" si="4"/>
        <v>0.88</v>
      </c>
      <c r="J14" s="119">
        <v>12.0</v>
      </c>
      <c r="K14" s="108">
        <v>10.56</v>
      </c>
      <c r="L14" s="120">
        <v>0.1</v>
      </c>
      <c r="M14" s="121">
        <v>0.014</v>
      </c>
      <c r="N14" s="122"/>
      <c r="O14" s="123"/>
      <c r="P14" s="125"/>
    </row>
    <row r="15">
      <c r="A15" s="55" t="s">
        <v>37</v>
      </c>
      <c r="B15" s="56" t="s">
        <v>87</v>
      </c>
      <c r="C15" s="64" t="s">
        <v>88</v>
      </c>
      <c r="D15" s="65"/>
      <c r="E15" s="67">
        <v>2.5</v>
      </c>
      <c r="F15" s="66">
        <f t="shared" si="1"/>
        <v>0.349424</v>
      </c>
      <c r="G15" s="70">
        <f t="shared" si="2"/>
        <v>0.87356</v>
      </c>
      <c r="H15" s="70">
        <f t="shared" si="3"/>
        <v>1.62644</v>
      </c>
      <c r="I15" s="77">
        <v>1.46</v>
      </c>
      <c r="J15" s="78">
        <v>1.0</v>
      </c>
      <c r="K15" s="80"/>
      <c r="L15" s="84">
        <v>0.1</v>
      </c>
      <c r="M15" s="87">
        <v>0.014</v>
      </c>
      <c r="N15" s="88"/>
      <c r="O15" s="90"/>
      <c r="P15" s="91"/>
    </row>
    <row r="16">
      <c r="A16" s="94" t="s">
        <v>37</v>
      </c>
      <c r="B16" s="96" t="s">
        <v>87</v>
      </c>
      <c r="C16" s="58" t="s">
        <v>92</v>
      </c>
      <c r="D16" s="126"/>
      <c r="E16" s="60">
        <v>2.5</v>
      </c>
      <c r="F16" s="66">
        <f t="shared" si="1"/>
        <v>0.456368</v>
      </c>
      <c r="G16" s="68">
        <f t="shared" si="2"/>
        <v>1.14092</v>
      </c>
      <c r="H16" s="68">
        <f t="shared" si="3"/>
        <v>1.35908</v>
      </c>
      <c r="I16" s="72">
        <f t="shared" ref="I16:I27" si="5">K16/J16</f>
        <v>1.22</v>
      </c>
      <c r="J16" s="73">
        <v>12.0</v>
      </c>
      <c r="K16" s="74">
        <v>14.64</v>
      </c>
      <c r="L16" s="75">
        <v>0.1</v>
      </c>
      <c r="M16" s="127">
        <v>0.014</v>
      </c>
      <c r="N16" s="79"/>
      <c r="O16" s="82"/>
      <c r="P16" s="85"/>
    </row>
    <row r="17">
      <c r="A17" s="94" t="s">
        <v>37</v>
      </c>
      <c r="B17" s="96" t="s">
        <v>87</v>
      </c>
      <c r="C17" s="58" t="s">
        <v>95</v>
      </c>
      <c r="D17" s="126"/>
      <c r="E17" s="60">
        <v>2.5</v>
      </c>
      <c r="F17" s="66">
        <f t="shared" si="1"/>
        <v>0.456368</v>
      </c>
      <c r="G17" s="68">
        <f t="shared" si="2"/>
        <v>1.14092</v>
      </c>
      <c r="H17" s="68">
        <f t="shared" si="3"/>
        <v>1.35908</v>
      </c>
      <c r="I17" s="72">
        <f t="shared" si="5"/>
        <v>1.22</v>
      </c>
      <c r="J17" s="73">
        <v>12.0</v>
      </c>
      <c r="K17" s="74">
        <v>14.64</v>
      </c>
      <c r="L17" s="75">
        <v>0.1</v>
      </c>
      <c r="M17" s="127">
        <v>0.014</v>
      </c>
      <c r="N17" s="79"/>
      <c r="O17" s="82"/>
      <c r="P17" s="85"/>
    </row>
    <row r="18">
      <c r="A18" s="94" t="s">
        <v>37</v>
      </c>
      <c r="B18" s="96" t="s">
        <v>87</v>
      </c>
      <c r="C18" s="58" t="s">
        <v>97</v>
      </c>
      <c r="D18" s="126"/>
      <c r="E18" s="60">
        <v>3.0</v>
      </c>
      <c r="F18" s="66">
        <f t="shared" si="1"/>
        <v>0.46528</v>
      </c>
      <c r="G18" s="68">
        <f t="shared" si="2"/>
        <v>1.39584</v>
      </c>
      <c r="H18" s="68">
        <f t="shared" si="3"/>
        <v>1.60416</v>
      </c>
      <c r="I18" s="72">
        <f t="shared" si="5"/>
        <v>1.44</v>
      </c>
      <c r="J18" s="73">
        <v>12.0</v>
      </c>
      <c r="K18" s="74">
        <v>17.28</v>
      </c>
      <c r="L18" s="75">
        <v>0.1</v>
      </c>
      <c r="M18" s="127">
        <v>0.014</v>
      </c>
      <c r="N18" s="79"/>
      <c r="O18" s="82"/>
      <c r="P18" s="85"/>
    </row>
    <row r="19">
      <c r="A19" s="94" t="s">
        <v>37</v>
      </c>
      <c r="B19" s="96" t="s">
        <v>98</v>
      </c>
      <c r="C19" s="58" t="s">
        <v>99</v>
      </c>
      <c r="D19" s="126"/>
      <c r="E19" s="60">
        <v>2.5</v>
      </c>
      <c r="F19" s="66">
        <f t="shared" si="1"/>
        <v>1</v>
      </c>
      <c r="G19" s="68">
        <f t="shared" si="2"/>
        <v>2.5</v>
      </c>
      <c r="H19" s="68">
        <f t="shared" si="3"/>
        <v>0</v>
      </c>
      <c r="I19" s="72">
        <f t="shared" si="5"/>
        <v>0</v>
      </c>
      <c r="J19" s="73">
        <v>1.0</v>
      </c>
      <c r="K19" s="74"/>
      <c r="L19" s="75">
        <v>0.1</v>
      </c>
      <c r="M19" s="127">
        <v>0.014</v>
      </c>
      <c r="N19" s="79"/>
      <c r="O19" s="82"/>
      <c r="P19" s="85"/>
    </row>
    <row r="20">
      <c r="A20" s="94" t="s">
        <v>37</v>
      </c>
      <c r="B20" s="96" t="s">
        <v>98</v>
      </c>
      <c r="C20" s="58" t="s">
        <v>104</v>
      </c>
      <c r="D20" s="126"/>
      <c r="E20" s="60">
        <v>2.5</v>
      </c>
      <c r="F20" s="66">
        <f t="shared" si="1"/>
        <v>1</v>
      </c>
      <c r="G20" s="68">
        <f t="shared" si="2"/>
        <v>2.5</v>
      </c>
      <c r="H20" s="68">
        <f t="shared" si="3"/>
        <v>0</v>
      </c>
      <c r="I20" s="72">
        <f t="shared" si="5"/>
        <v>0</v>
      </c>
      <c r="J20" s="73">
        <v>1.0</v>
      </c>
      <c r="K20" s="74"/>
      <c r="L20" s="75">
        <v>0.1</v>
      </c>
      <c r="M20" s="127">
        <v>0.014</v>
      </c>
      <c r="N20" s="79"/>
      <c r="O20" s="82"/>
      <c r="P20" s="85"/>
    </row>
    <row r="21">
      <c r="A21" s="112" t="s">
        <v>37</v>
      </c>
      <c r="B21" s="113" t="s">
        <v>98</v>
      </c>
      <c r="C21" s="114" t="s">
        <v>107</v>
      </c>
      <c r="D21" s="115"/>
      <c r="E21" s="116">
        <v>1.5</v>
      </c>
      <c r="F21" s="69">
        <f t="shared" si="1"/>
        <v>1</v>
      </c>
      <c r="G21" s="117">
        <f t="shared" si="2"/>
        <v>1.5</v>
      </c>
      <c r="H21" s="117">
        <f t="shared" si="3"/>
        <v>0</v>
      </c>
      <c r="I21" s="118">
        <f t="shared" si="5"/>
        <v>0</v>
      </c>
      <c r="J21" s="119">
        <v>1.0</v>
      </c>
      <c r="K21" s="108"/>
      <c r="L21" s="120">
        <v>0.1</v>
      </c>
      <c r="M21" s="121">
        <v>0.014</v>
      </c>
      <c r="N21" s="122"/>
      <c r="O21" s="123"/>
      <c r="P21" s="125"/>
    </row>
    <row r="22">
      <c r="A22" s="57" t="s">
        <v>37</v>
      </c>
      <c r="B22" s="59" t="s">
        <v>110</v>
      </c>
      <c r="C22" s="61" t="s">
        <v>111</v>
      </c>
      <c r="D22" s="62"/>
      <c r="E22" s="63">
        <v>2.0</v>
      </c>
      <c r="F22" s="69">
        <f t="shared" si="1"/>
        <v>0.52655</v>
      </c>
      <c r="G22" s="71">
        <f t="shared" si="2"/>
        <v>1.0531</v>
      </c>
      <c r="H22" s="71">
        <f t="shared" si="3"/>
        <v>0.9469</v>
      </c>
      <c r="I22" s="81">
        <f t="shared" si="5"/>
        <v>0.85</v>
      </c>
      <c r="J22" s="83">
        <v>24.0</v>
      </c>
      <c r="K22" s="86">
        <v>20.4</v>
      </c>
      <c r="L22" s="89">
        <v>0.1</v>
      </c>
      <c r="M22" s="92">
        <v>0.014</v>
      </c>
      <c r="N22" s="93"/>
      <c r="O22" s="95"/>
      <c r="P22" s="97"/>
    </row>
    <row r="23">
      <c r="A23" s="57" t="s">
        <v>37</v>
      </c>
      <c r="B23" s="59" t="s">
        <v>110</v>
      </c>
      <c r="C23" s="61" t="s">
        <v>113</v>
      </c>
      <c r="D23" s="62"/>
      <c r="E23" s="63">
        <v>4.0</v>
      </c>
      <c r="F23" s="69">
        <f t="shared" si="1"/>
        <v>1</v>
      </c>
      <c r="G23" s="71">
        <f t="shared" si="2"/>
        <v>4</v>
      </c>
      <c r="H23" s="71">
        <f t="shared" si="3"/>
        <v>0</v>
      </c>
      <c r="I23" s="81">
        <f t="shared" si="5"/>
        <v>0</v>
      </c>
      <c r="J23" s="83">
        <v>1.0</v>
      </c>
      <c r="K23" s="86"/>
      <c r="L23" s="89">
        <v>0.1</v>
      </c>
      <c r="M23" s="92">
        <v>0.014</v>
      </c>
      <c r="N23" s="93"/>
      <c r="O23" s="95"/>
      <c r="P23" s="97"/>
    </row>
    <row r="24">
      <c r="A24" s="55" t="s">
        <v>37</v>
      </c>
      <c r="B24" s="56"/>
      <c r="C24" s="64" t="s">
        <v>118</v>
      </c>
      <c r="D24" s="65"/>
      <c r="E24" s="67"/>
      <c r="F24" s="66" t="str">
        <f t="shared" si="1"/>
        <v/>
      </c>
      <c r="G24" s="70">
        <f t="shared" si="2"/>
        <v>0</v>
      </c>
      <c r="H24" s="70">
        <f t="shared" si="3"/>
        <v>0</v>
      </c>
      <c r="I24" s="77">
        <f t="shared" si="5"/>
        <v>0</v>
      </c>
      <c r="J24" s="78">
        <v>1.0</v>
      </c>
      <c r="K24" s="80"/>
      <c r="L24" s="84">
        <v>0.1</v>
      </c>
      <c r="M24" s="87">
        <v>0.014</v>
      </c>
      <c r="N24" s="88"/>
      <c r="O24" s="90"/>
      <c r="P24" s="91"/>
    </row>
    <row r="25">
      <c r="A25" s="55" t="s">
        <v>37</v>
      </c>
      <c r="B25" s="56"/>
      <c r="C25" s="64" t="s">
        <v>121</v>
      </c>
      <c r="D25" s="65"/>
      <c r="E25" s="67"/>
      <c r="F25" s="66" t="str">
        <f t="shared" si="1"/>
        <v/>
      </c>
      <c r="G25" s="70">
        <f t="shared" si="2"/>
        <v>0</v>
      </c>
      <c r="H25" s="70">
        <f t="shared" si="3"/>
        <v>0</v>
      </c>
      <c r="I25" s="77">
        <f t="shared" si="5"/>
        <v>0</v>
      </c>
      <c r="J25" s="78">
        <v>1.0</v>
      </c>
      <c r="K25" s="80"/>
      <c r="L25" s="84">
        <v>0.1</v>
      </c>
      <c r="M25" s="87">
        <v>0.014</v>
      </c>
      <c r="N25" s="88"/>
      <c r="O25" s="90"/>
      <c r="P25" s="91"/>
    </row>
    <row r="26">
      <c r="A26" s="55" t="s">
        <v>37</v>
      </c>
      <c r="B26" s="56" t="s">
        <v>122</v>
      </c>
      <c r="C26" s="64" t="s">
        <v>123</v>
      </c>
      <c r="D26" s="65"/>
      <c r="E26" s="67">
        <v>2.0</v>
      </c>
      <c r="F26" s="66">
        <f t="shared" si="1"/>
        <v>1</v>
      </c>
      <c r="G26" s="70">
        <f t="shared" si="2"/>
        <v>2</v>
      </c>
      <c r="H26" s="70">
        <f t="shared" si="3"/>
        <v>0</v>
      </c>
      <c r="I26" s="77">
        <f t="shared" si="5"/>
        <v>0</v>
      </c>
      <c r="J26" s="78">
        <v>1.0</v>
      </c>
      <c r="K26" s="80"/>
      <c r="L26" s="84">
        <v>0.1</v>
      </c>
      <c r="M26" s="87">
        <v>0.014</v>
      </c>
      <c r="N26" s="88"/>
      <c r="O26" s="90"/>
      <c r="P26" s="91"/>
    </row>
    <row r="27">
      <c r="A27" s="55" t="s">
        <v>37</v>
      </c>
      <c r="B27" s="56" t="s">
        <v>122</v>
      </c>
      <c r="C27" s="64" t="s">
        <v>130</v>
      </c>
      <c r="D27" s="65"/>
      <c r="E27" s="67">
        <v>2.5</v>
      </c>
      <c r="F27" s="66">
        <f t="shared" si="1"/>
        <v>1</v>
      </c>
      <c r="G27" s="70">
        <f t="shared" si="2"/>
        <v>2.5</v>
      </c>
      <c r="H27" s="70">
        <f t="shared" si="3"/>
        <v>0</v>
      </c>
      <c r="I27" s="77">
        <f t="shared" si="5"/>
        <v>0</v>
      </c>
      <c r="J27" s="78">
        <v>1.0</v>
      </c>
      <c r="K27" s="80"/>
      <c r="L27" s="84">
        <v>0.1</v>
      </c>
      <c r="M27" s="87">
        <v>0.014</v>
      </c>
      <c r="N27" s="88"/>
      <c r="O27" s="90"/>
      <c r="P27" s="91"/>
    </row>
    <row r="28">
      <c r="A28" s="55" t="s">
        <v>37</v>
      </c>
      <c r="B28" s="56" t="s">
        <v>122</v>
      </c>
      <c r="C28" s="64" t="s">
        <v>134</v>
      </c>
      <c r="D28" s="65"/>
      <c r="E28" s="67">
        <v>2.0</v>
      </c>
      <c r="F28" s="66">
        <f t="shared" si="1"/>
        <v>0.76606</v>
      </c>
      <c r="G28" s="70">
        <f t="shared" si="2"/>
        <v>1.53212</v>
      </c>
      <c r="H28" s="70">
        <f t="shared" si="3"/>
        <v>0.46788</v>
      </c>
      <c r="I28" s="77">
        <v>0.42</v>
      </c>
      <c r="J28" s="78">
        <v>5.0</v>
      </c>
      <c r="K28" s="80">
        <v>10.5</v>
      </c>
      <c r="L28" s="84">
        <v>0.1</v>
      </c>
      <c r="M28" s="87">
        <v>0.014</v>
      </c>
      <c r="N28" s="88"/>
      <c r="O28" s="90"/>
      <c r="P28" s="91"/>
    </row>
    <row r="29">
      <c r="A29" s="55" t="s">
        <v>37</v>
      </c>
      <c r="B29" s="56"/>
      <c r="C29" s="64" t="s">
        <v>139</v>
      </c>
      <c r="D29" s="65"/>
      <c r="E29" s="67"/>
      <c r="F29" s="66" t="str">
        <f t="shared" si="1"/>
        <v/>
      </c>
      <c r="G29" s="70">
        <f t="shared" si="2"/>
        <v>0</v>
      </c>
      <c r="H29" s="70">
        <f t="shared" si="3"/>
        <v>0</v>
      </c>
      <c r="I29" s="77">
        <f t="shared" ref="I29:I47" si="6">K29/J29</f>
        <v>0</v>
      </c>
      <c r="J29" s="78">
        <v>1.0</v>
      </c>
      <c r="K29" s="80"/>
      <c r="L29" s="84">
        <v>0.1</v>
      </c>
      <c r="M29" s="87">
        <v>0.014</v>
      </c>
      <c r="N29" s="88"/>
      <c r="O29" s="90"/>
      <c r="P29" s="91"/>
    </row>
    <row r="30">
      <c r="A30" s="94" t="s">
        <v>37</v>
      </c>
      <c r="B30" s="96" t="s">
        <v>98</v>
      </c>
      <c r="C30" s="58" t="s">
        <v>145</v>
      </c>
      <c r="D30" s="126"/>
      <c r="E30" s="60">
        <v>2.0</v>
      </c>
      <c r="F30" s="66">
        <f t="shared" si="1"/>
        <v>1</v>
      </c>
      <c r="G30" s="68">
        <f t="shared" si="2"/>
        <v>2</v>
      </c>
      <c r="H30" s="68">
        <f t="shared" si="3"/>
        <v>0</v>
      </c>
      <c r="I30" s="72">
        <f t="shared" si="6"/>
        <v>0</v>
      </c>
      <c r="J30" s="73">
        <v>1.0</v>
      </c>
      <c r="K30" s="74"/>
      <c r="L30" s="75">
        <v>0.1</v>
      </c>
      <c r="M30" s="127">
        <v>0.014</v>
      </c>
      <c r="N30" s="79"/>
      <c r="O30" s="82"/>
      <c r="P30" s="85"/>
    </row>
    <row r="31">
      <c r="A31" s="94" t="s">
        <v>37</v>
      </c>
      <c r="B31" s="96" t="s">
        <v>98</v>
      </c>
      <c r="C31" s="58" t="s">
        <v>150</v>
      </c>
      <c r="D31" s="126"/>
      <c r="E31" s="60">
        <v>2.0</v>
      </c>
      <c r="F31" s="66">
        <f t="shared" si="1"/>
        <v>1</v>
      </c>
      <c r="G31" s="68">
        <f t="shared" si="2"/>
        <v>2</v>
      </c>
      <c r="H31" s="68">
        <f t="shared" si="3"/>
        <v>0</v>
      </c>
      <c r="I31" s="72">
        <f t="shared" si="6"/>
        <v>0</v>
      </c>
      <c r="J31" s="73">
        <v>1.0</v>
      </c>
      <c r="K31" s="74"/>
      <c r="L31" s="75">
        <v>0.1</v>
      </c>
      <c r="M31" s="127">
        <v>0.014</v>
      </c>
      <c r="N31" s="79"/>
      <c r="O31" s="82"/>
      <c r="P31" s="85"/>
    </row>
    <row r="32">
      <c r="A32" s="112" t="s">
        <v>37</v>
      </c>
      <c r="B32" s="113" t="s">
        <v>98</v>
      </c>
      <c r="C32" s="114" t="s">
        <v>155</v>
      </c>
      <c r="D32" s="115"/>
      <c r="E32" s="116">
        <v>2.0</v>
      </c>
      <c r="F32" s="69">
        <f t="shared" si="1"/>
        <v>1</v>
      </c>
      <c r="G32" s="117">
        <f t="shared" si="2"/>
        <v>2</v>
      </c>
      <c r="H32" s="117">
        <f t="shared" si="3"/>
        <v>0</v>
      </c>
      <c r="I32" s="118">
        <f t="shared" si="6"/>
        <v>0</v>
      </c>
      <c r="J32" s="119">
        <v>1.0</v>
      </c>
      <c r="K32" s="108"/>
      <c r="L32" s="120">
        <v>0.1</v>
      </c>
      <c r="M32" s="121">
        <v>0.014</v>
      </c>
      <c r="N32" s="122"/>
      <c r="O32" s="123"/>
      <c r="P32" s="125"/>
    </row>
    <row r="33">
      <c r="A33" s="94" t="s">
        <v>37</v>
      </c>
      <c r="B33" s="96" t="s">
        <v>158</v>
      </c>
      <c r="C33" s="58" t="s">
        <v>159</v>
      </c>
      <c r="D33" s="126"/>
      <c r="E33" s="60">
        <v>1.0</v>
      </c>
      <c r="F33" s="66">
        <f t="shared" si="1"/>
        <v>0.3873</v>
      </c>
      <c r="G33" s="68">
        <f t="shared" si="2"/>
        <v>0.3873</v>
      </c>
      <c r="H33" s="68">
        <f t="shared" si="3"/>
        <v>0.6127</v>
      </c>
      <c r="I33" s="72">
        <f t="shared" si="6"/>
        <v>0.55</v>
      </c>
      <c r="J33" s="73">
        <v>20.0</v>
      </c>
      <c r="K33" s="74">
        <v>11.0</v>
      </c>
      <c r="L33" s="75">
        <v>0.1</v>
      </c>
      <c r="M33" s="127">
        <v>0.014</v>
      </c>
      <c r="N33" s="79"/>
      <c r="O33" s="82"/>
      <c r="P33" s="85"/>
    </row>
    <row r="34">
      <c r="A34" s="94" t="s">
        <v>37</v>
      </c>
      <c r="B34" s="96" t="s">
        <v>158</v>
      </c>
      <c r="C34" s="58" t="s">
        <v>162</v>
      </c>
      <c r="D34" s="126"/>
      <c r="E34" s="60">
        <v>1.0</v>
      </c>
      <c r="F34" s="66">
        <f t="shared" si="1"/>
        <v>1</v>
      </c>
      <c r="G34" s="68">
        <f t="shared" si="2"/>
        <v>1</v>
      </c>
      <c r="H34" s="68">
        <f t="shared" si="3"/>
        <v>0</v>
      </c>
      <c r="I34" s="72">
        <f t="shared" si="6"/>
        <v>0</v>
      </c>
      <c r="J34" s="73">
        <v>1.0</v>
      </c>
      <c r="K34" s="74"/>
      <c r="L34" s="75">
        <v>0.1</v>
      </c>
      <c r="M34" s="127">
        <v>0.014</v>
      </c>
      <c r="N34" s="79"/>
      <c r="O34" s="82"/>
      <c r="P34" s="85"/>
    </row>
    <row r="35">
      <c r="A35" s="94" t="s">
        <v>37</v>
      </c>
      <c r="B35" s="96" t="s">
        <v>158</v>
      </c>
      <c r="C35" s="58" t="s">
        <v>164</v>
      </c>
      <c r="D35" s="126"/>
      <c r="E35" s="60">
        <v>1.0</v>
      </c>
      <c r="F35" s="66">
        <f t="shared" si="1"/>
        <v>0.4987</v>
      </c>
      <c r="G35" s="68">
        <f t="shared" si="2"/>
        <v>0.4987</v>
      </c>
      <c r="H35" s="68">
        <f t="shared" si="3"/>
        <v>0.5013</v>
      </c>
      <c r="I35" s="72">
        <f t="shared" si="6"/>
        <v>0.45</v>
      </c>
      <c r="J35" s="73">
        <v>20.0</v>
      </c>
      <c r="K35" s="74">
        <v>9.0</v>
      </c>
      <c r="L35" s="75">
        <v>0.1</v>
      </c>
      <c r="M35" s="127">
        <v>0.014</v>
      </c>
      <c r="N35" s="79"/>
      <c r="O35" s="82"/>
      <c r="P35" s="85"/>
    </row>
    <row r="36">
      <c r="A36" s="55" t="s">
        <v>37</v>
      </c>
      <c r="B36" s="56" t="s">
        <v>158</v>
      </c>
      <c r="C36" s="64" t="s">
        <v>169</v>
      </c>
      <c r="D36" s="65"/>
      <c r="E36" s="67">
        <v>1.0</v>
      </c>
      <c r="F36" s="66">
        <f t="shared" si="1"/>
        <v>0.4987</v>
      </c>
      <c r="G36" s="70">
        <f t="shared" si="2"/>
        <v>0.4987</v>
      </c>
      <c r="H36" s="70">
        <f t="shared" si="3"/>
        <v>0.5013</v>
      </c>
      <c r="I36" s="77">
        <f t="shared" si="6"/>
        <v>0.45</v>
      </c>
      <c r="J36" s="78">
        <v>20.0</v>
      </c>
      <c r="K36" s="80">
        <v>9.0</v>
      </c>
      <c r="L36" s="84">
        <v>0.1</v>
      </c>
      <c r="M36" s="87">
        <v>0.014</v>
      </c>
      <c r="N36" s="88"/>
      <c r="O36" s="90"/>
      <c r="P36" s="91"/>
    </row>
    <row r="37">
      <c r="A37" s="94" t="s">
        <v>37</v>
      </c>
      <c r="B37" s="96" t="s">
        <v>158</v>
      </c>
      <c r="C37" s="58" t="s">
        <v>171</v>
      </c>
      <c r="D37" s="126"/>
      <c r="E37" s="60">
        <v>1.0</v>
      </c>
      <c r="F37" s="66">
        <f t="shared" si="1"/>
        <v>1</v>
      </c>
      <c r="G37" s="68">
        <f t="shared" si="2"/>
        <v>1</v>
      </c>
      <c r="H37" s="68">
        <f t="shared" si="3"/>
        <v>0</v>
      </c>
      <c r="I37" s="72">
        <f t="shared" si="6"/>
        <v>0</v>
      </c>
      <c r="J37" s="73">
        <v>1.0</v>
      </c>
      <c r="K37" s="74"/>
      <c r="L37" s="75">
        <v>0.1</v>
      </c>
      <c r="M37" s="127">
        <v>0.014</v>
      </c>
      <c r="N37" s="79"/>
      <c r="O37" s="82"/>
      <c r="P37" s="85"/>
    </row>
    <row r="38">
      <c r="A38" s="94" t="s">
        <v>37</v>
      </c>
      <c r="B38" s="96" t="s">
        <v>158</v>
      </c>
      <c r="C38" s="58" t="s">
        <v>175</v>
      </c>
      <c r="D38" s="126"/>
      <c r="E38" s="60">
        <v>1.0</v>
      </c>
      <c r="F38" s="66">
        <f t="shared" si="1"/>
        <v>1</v>
      </c>
      <c r="G38" s="68">
        <f t="shared" si="2"/>
        <v>1</v>
      </c>
      <c r="H38" s="68">
        <f t="shared" si="3"/>
        <v>0</v>
      </c>
      <c r="I38" s="72">
        <f t="shared" si="6"/>
        <v>0</v>
      </c>
      <c r="J38" s="73">
        <v>1.0</v>
      </c>
      <c r="K38" s="74"/>
      <c r="L38" s="75">
        <v>0.1</v>
      </c>
      <c r="M38" s="127">
        <v>0.014</v>
      </c>
      <c r="N38" s="79"/>
      <c r="O38" s="82"/>
      <c r="P38" s="85"/>
    </row>
    <row r="39">
      <c r="A39" s="55" t="s">
        <v>37</v>
      </c>
      <c r="B39" s="56" t="s">
        <v>98</v>
      </c>
      <c r="C39" s="64" t="s">
        <v>179</v>
      </c>
      <c r="D39" s="65"/>
      <c r="E39" s="67">
        <v>2.5</v>
      </c>
      <c r="F39" s="66">
        <f t="shared" si="1"/>
        <v>1</v>
      </c>
      <c r="G39" s="70">
        <f t="shared" si="2"/>
        <v>2.5</v>
      </c>
      <c r="H39" s="70">
        <f t="shared" si="3"/>
        <v>0</v>
      </c>
      <c r="I39" s="77">
        <f t="shared" si="6"/>
        <v>0</v>
      </c>
      <c r="J39" s="78">
        <v>1.0</v>
      </c>
      <c r="K39" s="80"/>
      <c r="L39" s="84">
        <v>0.1</v>
      </c>
      <c r="M39" s="87">
        <v>0.014</v>
      </c>
      <c r="N39" s="88"/>
      <c r="O39" s="90"/>
      <c r="P39" s="91"/>
    </row>
    <row r="40">
      <c r="A40" s="55" t="s">
        <v>37</v>
      </c>
      <c r="B40" s="56" t="s">
        <v>98</v>
      </c>
      <c r="C40" s="64" t="s">
        <v>181</v>
      </c>
      <c r="D40" s="65"/>
      <c r="E40" s="67">
        <v>1.5</v>
      </c>
      <c r="F40" s="66">
        <f t="shared" si="1"/>
        <v>1</v>
      </c>
      <c r="G40" s="70">
        <f t="shared" si="2"/>
        <v>1.5</v>
      </c>
      <c r="H40" s="70">
        <f t="shared" si="3"/>
        <v>0</v>
      </c>
      <c r="I40" s="77">
        <f t="shared" si="6"/>
        <v>0</v>
      </c>
      <c r="J40" s="78">
        <v>1.0</v>
      </c>
      <c r="K40" s="80"/>
      <c r="L40" s="84">
        <v>0.1</v>
      </c>
      <c r="M40" s="87">
        <v>0.014</v>
      </c>
      <c r="N40" s="88"/>
      <c r="O40" s="90"/>
      <c r="P40" s="91"/>
    </row>
    <row r="41">
      <c r="A41" s="55" t="s">
        <v>37</v>
      </c>
      <c r="B41" s="56" t="s">
        <v>185</v>
      </c>
      <c r="C41" s="64" t="s">
        <v>186</v>
      </c>
      <c r="D41" s="65">
        <v>50.0</v>
      </c>
      <c r="E41" s="67">
        <v>5.0</v>
      </c>
      <c r="F41" s="66">
        <f t="shared" si="1"/>
        <v>1</v>
      </c>
      <c r="G41" s="70">
        <f t="shared" si="2"/>
        <v>5</v>
      </c>
      <c r="H41" s="70">
        <f t="shared" si="3"/>
        <v>0</v>
      </c>
      <c r="I41" s="77">
        <f t="shared" si="6"/>
        <v>0</v>
      </c>
      <c r="J41" s="78">
        <v>1.0</v>
      </c>
      <c r="K41" s="80"/>
      <c r="L41" s="84">
        <v>0.1</v>
      </c>
      <c r="M41" s="87">
        <v>0.014</v>
      </c>
      <c r="N41" s="88"/>
      <c r="O41" s="90"/>
      <c r="P41" s="91"/>
    </row>
    <row r="42">
      <c r="A42" s="94" t="s">
        <v>37</v>
      </c>
      <c r="B42" s="56" t="s">
        <v>185</v>
      </c>
      <c r="C42" s="58" t="s">
        <v>189</v>
      </c>
      <c r="D42" s="126">
        <v>50.0</v>
      </c>
      <c r="E42" s="60">
        <v>6.0</v>
      </c>
      <c r="F42" s="66">
        <f t="shared" si="1"/>
        <v>1</v>
      </c>
      <c r="G42" s="68">
        <f t="shared" si="2"/>
        <v>6</v>
      </c>
      <c r="H42" s="68">
        <f t="shared" si="3"/>
        <v>0</v>
      </c>
      <c r="I42" s="72">
        <f t="shared" si="6"/>
        <v>0</v>
      </c>
      <c r="J42" s="73">
        <v>1.0</v>
      </c>
      <c r="K42" s="74"/>
      <c r="L42" s="75">
        <v>0.1</v>
      </c>
      <c r="M42" s="127">
        <v>0.014</v>
      </c>
      <c r="N42" s="79"/>
      <c r="O42" s="82"/>
      <c r="P42" s="85"/>
    </row>
    <row r="43">
      <c r="A43" s="94" t="s">
        <v>37</v>
      </c>
      <c r="B43" s="56" t="s">
        <v>185</v>
      </c>
      <c r="C43" s="58" t="s">
        <v>192</v>
      </c>
      <c r="D43" s="126">
        <v>50.0</v>
      </c>
      <c r="E43" s="60">
        <v>5.0</v>
      </c>
      <c r="F43" s="66">
        <f t="shared" si="1"/>
        <v>1</v>
      </c>
      <c r="G43" s="68">
        <f t="shared" si="2"/>
        <v>5</v>
      </c>
      <c r="H43" s="68">
        <f t="shared" si="3"/>
        <v>0</v>
      </c>
      <c r="I43" s="72">
        <f t="shared" si="6"/>
        <v>0</v>
      </c>
      <c r="J43" s="73">
        <v>1.0</v>
      </c>
      <c r="K43" s="74"/>
      <c r="L43" s="75">
        <v>0.1</v>
      </c>
      <c r="M43" s="127">
        <v>0.014</v>
      </c>
      <c r="N43" s="79"/>
      <c r="O43" s="82"/>
      <c r="P43" s="85"/>
    </row>
    <row r="44">
      <c r="A44" s="94" t="s">
        <v>37</v>
      </c>
      <c r="B44" s="56" t="s">
        <v>196</v>
      </c>
      <c r="C44" s="58" t="s">
        <v>197</v>
      </c>
      <c r="D44" s="126"/>
      <c r="E44" s="60"/>
      <c r="F44" s="66" t="str">
        <f t="shared" si="1"/>
        <v/>
      </c>
      <c r="G44" s="68">
        <f t="shared" si="2"/>
        <v>0</v>
      </c>
      <c r="H44" s="68">
        <f t="shared" si="3"/>
        <v>0</v>
      </c>
      <c r="I44" s="72">
        <f t="shared" si="6"/>
        <v>0</v>
      </c>
      <c r="J44" s="73">
        <v>1.0</v>
      </c>
      <c r="K44" s="74"/>
      <c r="L44" s="75">
        <v>0.1</v>
      </c>
      <c r="M44" s="127">
        <v>0.014</v>
      </c>
      <c r="N44" s="79"/>
      <c r="O44" s="82"/>
      <c r="P44" s="85"/>
    </row>
    <row r="45">
      <c r="A45" s="94" t="s">
        <v>37</v>
      </c>
      <c r="B45" s="56" t="s">
        <v>196</v>
      </c>
      <c r="C45" s="58" t="s">
        <v>200</v>
      </c>
      <c r="D45" s="126"/>
      <c r="E45" s="60">
        <v>2.0</v>
      </c>
      <c r="F45" s="66">
        <f t="shared" si="1"/>
        <v>1</v>
      </c>
      <c r="G45" s="68">
        <f t="shared" si="2"/>
        <v>2</v>
      </c>
      <c r="H45" s="68">
        <f t="shared" si="3"/>
        <v>0</v>
      </c>
      <c r="I45" s="72">
        <f t="shared" si="6"/>
        <v>0</v>
      </c>
      <c r="J45" s="73">
        <v>1.0</v>
      </c>
      <c r="K45" s="74"/>
      <c r="L45" s="75">
        <v>0.1</v>
      </c>
      <c r="M45" s="127">
        <v>0.014</v>
      </c>
      <c r="N45" s="79"/>
      <c r="O45" s="82"/>
      <c r="P45" s="85"/>
    </row>
    <row r="46">
      <c r="A46" s="94" t="s">
        <v>37</v>
      </c>
      <c r="B46" s="56" t="s">
        <v>196</v>
      </c>
      <c r="C46" s="58" t="s">
        <v>203</v>
      </c>
      <c r="D46" s="126"/>
      <c r="E46" s="60">
        <v>2.0</v>
      </c>
      <c r="F46" s="66">
        <f t="shared" si="1"/>
        <v>1</v>
      </c>
      <c r="G46" s="68">
        <f t="shared" si="2"/>
        <v>2</v>
      </c>
      <c r="H46" s="68">
        <f t="shared" si="3"/>
        <v>0</v>
      </c>
      <c r="I46" s="72">
        <f t="shared" si="6"/>
        <v>0</v>
      </c>
      <c r="J46" s="73">
        <v>1.0</v>
      </c>
      <c r="K46" s="74"/>
      <c r="L46" s="75">
        <v>0.1</v>
      </c>
      <c r="M46" s="127">
        <v>0.014</v>
      </c>
      <c r="N46" s="79"/>
      <c r="O46" s="82"/>
      <c r="P46" s="85"/>
    </row>
    <row r="47">
      <c r="A47" s="112" t="s">
        <v>37</v>
      </c>
      <c r="B47" s="59" t="s">
        <v>196</v>
      </c>
      <c r="C47" s="114" t="s">
        <v>209</v>
      </c>
      <c r="D47" s="115"/>
      <c r="E47" s="116">
        <v>2.0</v>
      </c>
      <c r="F47" s="69">
        <f t="shared" si="1"/>
        <v>1</v>
      </c>
      <c r="G47" s="117">
        <f t="shared" si="2"/>
        <v>2</v>
      </c>
      <c r="H47" s="117">
        <f t="shared" si="3"/>
        <v>0</v>
      </c>
      <c r="I47" s="118">
        <f t="shared" si="6"/>
        <v>0</v>
      </c>
      <c r="J47" s="119">
        <v>1.0</v>
      </c>
      <c r="K47" s="108"/>
      <c r="L47" s="120">
        <v>0.1</v>
      </c>
      <c r="M47" s="121">
        <v>0.014</v>
      </c>
      <c r="N47" s="122"/>
      <c r="O47" s="123"/>
      <c r="P47" s="125"/>
    </row>
  </sheetData>
  <mergeCells count="55">
    <mergeCell ref="A1:B3"/>
    <mergeCell ref="C1:D3"/>
    <mergeCell ref="N1:O1"/>
    <mergeCell ref="G2:G3"/>
    <mergeCell ref="J2:J3"/>
    <mergeCell ref="L2:L3"/>
    <mergeCell ref="M2:M3"/>
    <mergeCell ref="A5:B5"/>
    <mergeCell ref="D5:D6"/>
    <mergeCell ref="E5:E6"/>
    <mergeCell ref="F5:G5"/>
    <mergeCell ref="L5:L6"/>
    <mergeCell ref="N5:O6"/>
    <mergeCell ref="P5:P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42:O42"/>
    <mergeCell ref="N43:O43"/>
    <mergeCell ref="N44:O44"/>
    <mergeCell ref="N45:O45"/>
    <mergeCell ref="N46:O46"/>
    <mergeCell ref="N47:O47"/>
    <mergeCell ref="N35:O35"/>
    <mergeCell ref="N36:O36"/>
    <mergeCell ref="N37:O37"/>
    <mergeCell ref="N38:O38"/>
    <mergeCell ref="N39:O39"/>
    <mergeCell ref="N40:O40"/>
    <mergeCell ref="N41:O41"/>
  </mergeCells>
  <conditionalFormatting sqref="F7:F47">
    <cfRule type="cellIs" dxfId="0" priority="1" operator="lessThan">
      <formula>0</formula>
    </cfRule>
  </conditionalFormatting>
  <dataValidations>
    <dataValidation type="list" allowBlank="1" sqref="L2 P2 L7:L47">
      <formula1>'Postres i Gelats - La Parròquia'!$E$2:$E$3</formula1>
    </dataValidation>
    <dataValidation type="list" allowBlank="1" sqref="M2 M7:M47">
      <formula1>'Postres i Gelats - La Parròquia'!$F$2:$F$4</formula1>
    </dataValidation>
  </dataValidations>
  <printOptions gridLines="1" horizontalCentered="1"/>
  <pageMargins bottom="0.6" footer="0.0" header="0.0" left="1.1811023622047243" right="1.9465762982158878" top="0.6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24.25"/>
    <col customWidth="1" min="2" max="2" width="28.75"/>
  </cols>
  <sheetData>
    <row r="1">
      <c r="A1" s="173" t="s">
        <v>223</v>
      </c>
      <c r="B1" s="174" t="s">
        <v>224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</row>
    <row r="2">
      <c r="A2" s="176" t="s">
        <v>227</v>
      </c>
      <c r="B2" s="177" t="s">
        <v>228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</row>
    <row r="3">
      <c r="A3" s="176" t="s">
        <v>229</v>
      </c>
      <c r="B3" s="177" t="s">
        <v>230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</row>
    <row r="4">
      <c r="A4" s="176" t="s">
        <v>234</v>
      </c>
      <c r="B4" s="177" t="s">
        <v>235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</row>
    <row r="5">
      <c r="A5" s="176" t="s">
        <v>39</v>
      </c>
      <c r="B5" s="177" t="s">
        <v>236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</row>
    <row r="6">
      <c r="A6" s="176" t="s">
        <v>218</v>
      </c>
      <c r="B6" s="177" t="s">
        <v>240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</row>
    <row r="7">
      <c r="A7" s="176" t="s">
        <v>241</v>
      </c>
      <c r="B7" s="177" t="s">
        <v>242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</row>
    <row r="8">
      <c r="A8" s="176" t="s">
        <v>69</v>
      </c>
      <c r="B8" s="177" t="s">
        <v>245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</row>
    <row r="9">
      <c r="A9" s="176" t="s">
        <v>154</v>
      </c>
      <c r="B9" s="177" t="s">
        <v>247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</row>
    <row r="10">
      <c r="A10" s="176" t="s">
        <v>77</v>
      </c>
      <c r="B10" s="177" t="s">
        <v>250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</row>
    <row r="11">
      <c r="A11" s="176" t="s">
        <v>160</v>
      </c>
      <c r="B11" s="177" t="s">
        <v>253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</row>
    <row r="12">
      <c r="A12" s="176" t="s">
        <v>254</v>
      </c>
      <c r="B12" s="177" t="s">
        <v>255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</row>
    <row r="13">
      <c r="A13" s="176" t="s">
        <v>259</v>
      </c>
      <c r="B13" s="177" t="s">
        <v>260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</row>
    <row r="14">
      <c r="A14" s="176" t="s">
        <v>261</v>
      </c>
      <c r="B14" s="177" t="s">
        <v>262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</row>
    <row r="15">
      <c r="A15" s="176" t="s">
        <v>265</v>
      </c>
      <c r="B15" s="177" t="s">
        <v>266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</row>
    <row r="16">
      <c r="A16" s="176" t="s">
        <v>269</v>
      </c>
      <c r="B16" s="177" t="s">
        <v>270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</row>
    <row r="17">
      <c r="A17" s="176" t="s">
        <v>173</v>
      </c>
      <c r="B17" s="177" t="s">
        <v>271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</row>
    <row r="18">
      <c r="A18" s="176" t="s">
        <v>272</v>
      </c>
      <c r="B18" s="177" t="s">
        <v>273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</row>
    <row r="19">
      <c r="A19" s="176" t="s">
        <v>81</v>
      </c>
      <c r="B19" s="177" t="s">
        <v>274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</row>
    <row r="20">
      <c r="A20" s="176" t="s">
        <v>278</v>
      </c>
      <c r="B20" s="177" t="s">
        <v>279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</row>
    <row r="21">
      <c r="A21" s="176" t="s">
        <v>280</v>
      </c>
      <c r="B21" s="177" t="s">
        <v>281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</row>
    <row r="22">
      <c r="A22" s="176" t="s">
        <v>282</v>
      </c>
      <c r="B22" s="177" t="s">
        <v>284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</row>
    <row r="23">
      <c r="A23" s="176" t="s">
        <v>85</v>
      </c>
      <c r="B23" s="177" t="s">
        <v>287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</row>
    <row r="24">
      <c r="A24" s="176" t="s">
        <v>143</v>
      </c>
      <c r="B24" s="177" t="s">
        <v>288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</row>
    <row r="25">
      <c r="A25" s="176" t="s">
        <v>54</v>
      </c>
      <c r="B25" s="177" t="s">
        <v>292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</row>
    <row r="26">
      <c r="A26" s="176" t="s">
        <v>294</v>
      </c>
      <c r="B26" s="177" t="s">
        <v>296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</row>
    <row r="27">
      <c r="A27" s="176" t="s">
        <v>297</v>
      </c>
      <c r="B27" s="177" t="s">
        <v>298</v>
      </c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</row>
    <row r="28">
      <c r="A28" s="176" t="s">
        <v>299</v>
      </c>
      <c r="B28" s="177" t="s">
        <v>300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</row>
    <row r="29">
      <c r="A29" s="176" t="s">
        <v>301</v>
      </c>
      <c r="B29" s="177" t="s">
        <v>302</v>
      </c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</row>
    <row r="30">
      <c r="A30" s="176" t="s">
        <v>304</v>
      </c>
      <c r="B30" s="177" t="s">
        <v>305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</row>
    <row r="31">
      <c r="A31" s="176" t="s">
        <v>210</v>
      </c>
      <c r="B31" s="177" t="s">
        <v>307</v>
      </c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</row>
    <row r="32">
      <c r="A32" s="176" t="s">
        <v>310</v>
      </c>
      <c r="B32" s="177" t="s">
        <v>311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</row>
    <row r="33">
      <c r="A33" s="176" t="s">
        <v>313</v>
      </c>
      <c r="B33" s="177" t="s">
        <v>314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</row>
    <row r="34">
      <c r="A34" s="176" t="s">
        <v>316</v>
      </c>
      <c r="B34" s="177" t="s">
        <v>317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</row>
    <row r="35">
      <c r="A35" s="176" t="s">
        <v>83</v>
      </c>
      <c r="B35" s="177" t="s">
        <v>318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</row>
    <row r="36">
      <c r="A36" s="176" t="s">
        <v>319</v>
      </c>
      <c r="B36" s="177" t="s">
        <v>320</v>
      </c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</row>
    <row r="37">
      <c r="A37" s="176" t="s">
        <v>321</v>
      </c>
      <c r="B37" s="177" t="s">
        <v>322</v>
      </c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</row>
    <row r="38">
      <c r="A38" s="176" t="s">
        <v>324</v>
      </c>
      <c r="B38" s="177" t="s">
        <v>325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</row>
    <row r="39">
      <c r="A39" s="176" t="s">
        <v>326</v>
      </c>
      <c r="B39" s="177" t="s">
        <v>327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</row>
    <row r="40">
      <c r="A40" s="176" t="s">
        <v>328</v>
      </c>
      <c r="B40" s="177" t="s">
        <v>329</v>
      </c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</row>
    <row r="41">
      <c r="A41" s="176" t="s">
        <v>93</v>
      </c>
      <c r="B41" s="177" t="s">
        <v>332</v>
      </c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</row>
    <row r="42">
      <c r="A42" s="176" t="s">
        <v>244</v>
      </c>
      <c r="B42" s="177" t="s">
        <v>333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</row>
    <row r="43">
      <c r="A43" s="176" t="s">
        <v>334</v>
      </c>
      <c r="B43" s="177" t="s">
        <v>335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</row>
    <row r="44">
      <c r="A44" s="176" t="s">
        <v>338</v>
      </c>
      <c r="B44" s="177" t="s">
        <v>339</v>
      </c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</row>
    <row r="45">
      <c r="A45" s="176" t="s">
        <v>340</v>
      </c>
      <c r="B45" s="177" t="s">
        <v>341</v>
      </c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</row>
    <row r="46">
      <c r="A46" s="176" t="s">
        <v>342</v>
      </c>
      <c r="B46" s="177" t="s">
        <v>343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</row>
    <row r="47">
      <c r="A47" s="176" t="s">
        <v>344</v>
      </c>
      <c r="B47" s="177" t="s">
        <v>345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</row>
    <row r="48">
      <c r="A48" s="199" t="s">
        <v>70</v>
      </c>
      <c r="B48" s="177" t="s">
        <v>347</v>
      </c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</row>
    <row r="49">
      <c r="A49" s="176" t="s">
        <v>348</v>
      </c>
      <c r="B49" s="177" t="s">
        <v>350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</row>
    <row r="50">
      <c r="A50" s="199" t="s">
        <v>351</v>
      </c>
      <c r="B50" s="177" t="s">
        <v>352</v>
      </c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</row>
    <row r="51">
      <c r="A51" s="176" t="s">
        <v>75</v>
      </c>
      <c r="B51" s="177" t="s">
        <v>353</v>
      </c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</row>
    <row r="52">
      <c r="A52" s="176" t="s">
        <v>354</v>
      </c>
      <c r="B52" s="177" t="s">
        <v>355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</row>
    <row r="53">
      <c r="A53" s="176" t="s">
        <v>357</v>
      </c>
      <c r="B53" s="177" t="s">
        <v>359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</row>
    <row r="54">
      <c r="A54" s="176" t="s">
        <v>361</v>
      </c>
      <c r="B54" s="177" t="s">
        <v>362</v>
      </c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</row>
    <row r="55">
      <c r="A55" s="176" t="s">
        <v>363</v>
      </c>
      <c r="B55" s="177" t="s">
        <v>364</v>
      </c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</row>
    <row r="56">
      <c r="A56" s="176" t="s">
        <v>365</v>
      </c>
      <c r="B56" s="177" t="s">
        <v>366</v>
      </c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</row>
    <row r="57">
      <c r="A57" s="176" t="s">
        <v>368</v>
      </c>
      <c r="B57" s="177" t="s">
        <v>370</v>
      </c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</row>
    <row r="58">
      <c r="A58" s="176" t="s">
        <v>119</v>
      </c>
      <c r="B58" s="177" t="s">
        <v>372</v>
      </c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</row>
    <row r="59">
      <c r="A59" s="176" t="s">
        <v>373</v>
      </c>
      <c r="B59" s="177" t="s">
        <v>374</v>
      </c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</row>
    <row r="60">
      <c r="A60" s="176" t="s">
        <v>124</v>
      </c>
      <c r="B60" s="177" t="s">
        <v>377</v>
      </c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</row>
    <row r="61">
      <c r="A61" s="176" t="s">
        <v>378</v>
      </c>
      <c r="B61" s="177" t="s">
        <v>379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</row>
    <row r="62">
      <c r="A62" s="176" t="s">
        <v>381</v>
      </c>
      <c r="B62" s="177" t="s">
        <v>382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</row>
    <row r="63">
      <c r="A63" s="176" t="s">
        <v>90</v>
      </c>
      <c r="B63" s="177" t="s">
        <v>383</v>
      </c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</row>
    <row r="64">
      <c r="A64" s="176" t="s">
        <v>135</v>
      </c>
      <c r="B64" s="177" t="s">
        <v>386</v>
      </c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</row>
    <row r="6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</row>
    <row r="66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</row>
    <row r="67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</row>
    <row r="68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</row>
    <row r="70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</row>
    <row r="7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</row>
    <row r="72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</row>
    <row r="73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</row>
    <row r="74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</row>
    <row r="7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</row>
    <row r="7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</row>
    <row r="77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</row>
    <row r="78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</row>
    <row r="79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</row>
    <row r="80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</row>
    <row r="8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</row>
    <row r="8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</row>
    <row r="8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</row>
    <row r="87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</row>
    <row r="88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</row>
    <row r="89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</row>
    <row r="90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</row>
    <row r="9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</row>
    <row r="92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</row>
    <row r="93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