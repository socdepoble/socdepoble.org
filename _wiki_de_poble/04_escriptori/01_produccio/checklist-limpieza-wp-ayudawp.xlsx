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custom-properties+xml" PartName="/docProps/custom.xml"/>
  <Override ContentType="application/vnd.openxmlformats-officedocument.spreadsheetml.worksheet+xml" PartName="/xl/worksheets/sheet5.xml"/>
  <Override ContentType="application/vnd.openxmlformats-officedocument.spreadsheetml.worksheet+xml" PartName="/xl/worksheets/sheet4.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worksheet+xml" PartName="/xl/worksheets/sheet6.xml"/>
  <Override ContentType="application/vnd.openxmlformats-officedocument.spreadsheetml.worksheet+xml" PartName="/xl/worksheets/sheet8.xml"/>
  <Override ContentType="application/vnd.openxmlformats-officedocument.spreadsheetml.worksheet+xml" PartName="/xl/worksheets/sheet7.xml"/>
  <Override ContentType="application/binary" PartName="/xl/metadata"/>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8.xml"/>
  <Override ContentType="application/vnd.openxmlformats-officedocument.drawing+xml" PartName="/xl/drawings/drawing3.xml"/>
  <Override ContentType="application/vnd.openxmlformats-officedocument.drawing+xml" PartName="/xl/drawings/drawing6.xml"/>
  <Override ContentType="application/vnd.openxmlformats-officedocument.drawing+xml" PartName="/xl/drawings/drawing5.xml"/>
  <Override ContentType="application/vnd.openxmlformats-officedocument.drawing+xml" PartName="/xl/drawings/drawing1.xml"/>
  <Override ContentType="application/vnd.openxmlformats-officedocument.drawing+xml" PartName="/xl/drawings/drawing7.xml"/>
  <Override ContentType="application/vnd.openxmlformats-officedocument.drawing+xml" PartName="/xl/drawings/drawing2.xml"/>
  <Override ContentType="application/vnd.openxmlformats-package.core-properties+xml" PartName="/docProps/core.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package/2006/relationships/metadata/core-properties" Target="docProps/core.xml"/><Relationship Id="rId2" Type="http://schemas.openxmlformats.org/officeDocument/2006/relationships/custom-properties" Target="docProps/custom.xml"/><Relationship Id="rId3"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Portada" sheetId="1" r:id="rId4"/>
    <sheet state="visible" name="1 Antes de empezar" sheetId="2" r:id="rId5"/>
    <sheet state="visible" name="2 Checklist" sheetId="3" r:id="rId6"/>
    <sheet state="visible" name="3 Diagnóstico" sheetId="4" r:id="rId7"/>
    <sheet state="visible" name="4 Comprobaciones online" sheetId="5" r:id="rId8"/>
    <sheet state="visible" name="5 Reputación y retiradas" sheetId="6" r:id="rId9"/>
    <sheet state="visible" name="6 Patrones de código" sheetId="7" r:id="rId10"/>
    <sheet state="visible" name="7 No volver a pasar" sheetId="8" r:id="rId11"/>
  </sheets>
  <definedNames>
    <definedName hidden="1" localSheetId="1" name="_xlnm._FilterDatabase">'1 Antes de empezar'!$A$4:$D$27</definedName>
    <definedName hidden="1" localSheetId="2" name="_xlnm._FilterDatabase">'2 Checklist'!$A$4:$I$81</definedName>
    <definedName hidden="1" localSheetId="3" name="_xlnm._FilterDatabase">'3 Diagnóstico'!$A$4:$G$31</definedName>
    <definedName hidden="1" localSheetId="4" name="_xlnm._FilterDatabase">'4 Comprobaciones online'!$A$4:$G$24</definedName>
    <definedName hidden="1" localSheetId="5" name="_xlnm._FilterDatabase">'5 Reputación y retiradas'!$A$4:$G$13</definedName>
    <definedName hidden="1" localSheetId="6" name="_xlnm._FilterDatabase">'6 Patrones de código'!$A$5:$E$25</definedName>
  </definedNames>
  <calcPr/>
  <extLst>
    <ext uri="GoogleSheetsCustomDataVersion2">
      <go:sheetsCustomData xmlns:go="http://customooxmlschemas.google.com/" r:id="rId12" roundtripDataChecksum="cfxssi1Mkkp6NdWDGEjOu3dFO6bvvyzyRAfZJYfQYyQ="/>
    </ext>
  </extLst>
</workbook>
</file>

<file path=xl/sharedStrings.xml><?xml version="1.0" encoding="utf-8"?>
<sst xmlns="http://schemas.openxmlformats.org/spreadsheetml/2006/main" count="1032" uniqueCount="526">
  <si>
    <t>Lo que necesitas tener a mano antes de empezar</t>
  </si>
  <si>
    <t>Checklist de limpieza de una web WordPress infectada</t>
  </si>
  <si>
    <t>El checklist</t>
  </si>
  <si>
    <t>Reunir esto primero te ahorra parar la limpieza a mitad para buscar una contraseña.</t>
  </si>
  <si>
    <t>77 comprobaciones en 8 fases, de la primera copia de seguridad a recuperar la reputación en Google.</t>
  </si>
  <si>
    <t>Las fases van en orden y el orden importa. Filtra por «Aplica si» para quitarte de encima lo que no sea tu caso.</t>
  </si>
  <si>
    <t>Grupo</t>
  </si>
  <si>
    <t>Tu dominio</t>
  </si>
  <si>
    <t>Fase</t>
  </si>
  <si>
    <t>Qué necesitas</t>
  </si>
  <si>
    <t>Por qué</t>
  </si>
  <si>
    <t>Nº</t>
  </si>
  <si>
    <t>¿Lo tienes?</t>
  </si>
  <si>
    <t>Comprobación</t>
  </si>
  <si>
    <t>Cómo se hace</t>
  </si>
  <si>
    <t>ayudawp.com</t>
  </si>
  <si>
    <t>Accesos</t>
  </si>
  <si>
    <t>Aplica si</t>
  </si>
  <si>
    <t>Riesgo</t>
  </si>
  <si>
    <t>Panel de hosting</t>
  </si>
  <si>
    <t>Estado</t>
  </si>
  <si>
    <t>Fecha</t>
  </si>
  <si>
    <t>Notas</t>
  </si>
  <si>
    <t>Diagnóstico: qué mirar y cómo se mira</t>
  </si>
  <si>
    <t>0. Antes de tocar nada</t>
  </si>
  <si>
    <t>Panel de hosting con permiso para gestionar ficheros y copias. Si no tienes tú las claves, pídelas antes de empezar.</t>
  </si>
  <si>
    <t>Escríbelo sin www y sin https. Los enlaces de las hojas 4 y 5 se montan solos con lo que pongas aquí.</t>
  </si>
  <si>
    <t>Se pasa dos veces, al principio y al terminar, y se comparan las dos columnas. Un «Mal» que sigue igual después de limpiar es trabajo sin acabar.</t>
  </si>
  <si>
    <t>Piensa qué datos personales guarda tu web</t>
  </si>
  <si>
    <t>Clientes, pedidos, suscriptores del boletín, formularios de contacto, comentarios con su correo. Si hay algo de eso, los dos puntos siguientes te afectan. En una tienda la respuesta es que sí, siempre.</t>
  </si>
  <si>
    <t>Siempre</t>
  </si>
  <si>
    <t>Seguro</t>
  </si>
  <si>
    <t>Pendiente</t>
  </si>
  <si>
    <t>Antes de empezar, cuatro cosas</t>
  </si>
  <si>
    <t>Qué significa</t>
  </si>
  <si>
    <t>FTP o SFTP</t>
  </si>
  <si>
    <t>FTP o SFTP, mejor SFTP si tu hosting lo ofrece.</t>
  </si>
  <si>
    <t>Cómo lo compruebas tú</t>
  </si>
  <si>
    <t>Gravedad</t>
  </si>
  <si>
    <t>Resultado</t>
  </si>
  <si>
    <t>SSH</t>
  </si>
  <si>
    <t>Esto se puede romper.</t>
  </si>
  <si>
    <t>SSH, si lo tienes. Acelera muchísimo el trabajo de buscar y comparar ficheros.</t>
  </si>
  <si>
    <t>Buena parte de la fase 3 y de la 4 consiste en borrar ficheros y tocar la base de datos. Si no has descargado antes la copia completa de la fase 1, no sigas.</t>
  </si>
  <si>
    <t>Cloaking y redirecciones</t>
  </si>
  <si>
    <t>Base de datos</t>
  </si>
  <si>
    <t>Acceso a la base de datos por phpMyAdmin o Adminer, por si el panel no te lo da directo.</t>
  </si>
  <si>
    <t>Limpiar no es lo mismo que arreglar.</t>
  </si>
  <si>
    <t>Si no encuentras por dónde entraron, la web se vuelve a infectar en días y te preguntarás qué hiciste mal. No hiciste nada mal: dejaste la puerta abierta.</t>
  </si>
  <si>
    <t>¿Sirve el mismo contenido a Googlebot que a un navegador?</t>
  </si>
  <si>
    <t>Si a Googlebot le enseña otra cosa, hay spam SEO inyectado. Es la comprobación que más veces destapa el problema.</t>
  </si>
  <si>
    <t>Vas a perder personalizaciones.</t>
  </si>
  <si>
    <t>Con la Inspección de URL de Search Console, en «Ver página rastreada», comparas el HTML que ve Google con el que ves tú. También puedes cambiar el user-agent desde las herramientas de desarrollo del navegador.</t>
  </si>
  <si>
    <t>Al reinstalar el tema y los plugins desaparece lo que estuviera metido a mano dentro de esos ficheros. Por eso se copia antes.</t>
  </si>
  <si>
    <t>alta</t>
  </si>
  <si>
    <t>Gestor de DNS</t>
  </si>
  <si>
    <t>Gestor de DNS, para revisar los registros de correo sobre todo.</t>
  </si>
  <si>
    <t>Si hay datos personales, hay plazo legal.</t>
  </si>
  <si>
    <t>Registrador del dominio</t>
  </si>
  <si>
    <t>Registrador del dominio, solo si hay que tocar nameservers o te han secuestrado el dominio.</t>
  </si>
  <si>
    <t>72 horas para notificar a la Agencia Española de Protección de Datos desde que te enteras. Eso corre desde ya, no desde que termines de limpiar.</t>
  </si>
  <si>
    <t>Google Search Console</t>
  </si>
  <si>
    <t>Cómo se rellena</t>
  </si>
  <si>
    <t>Google Search Console verificado. Sin esto no puedes pedir la revisión de seguridad, que es la única vía para quitar el aviso de Google.</t>
  </si>
  <si>
    <t>Bing Webmaster Tools</t>
  </si>
  <si>
    <t>Pendiente · En marcha · Hecho · No aplica. Se elige de la lista de la celda.</t>
  </si>
  <si>
    <t>Bing Webmaster Tools, por la misma razón.</t>
  </si>
  <si>
    <t>Seguro, Con cuidado o Puede romper la web. Las rojas no se hacen con prisa ni sin copia previa.</t>
  </si>
  <si>
    <t>Correo del dominio</t>
  </si>
  <si>
    <t>Acceso al correo del dominio, para revisar cuentas y colas si hay spam saliente.</t>
  </si>
  <si>
    <t>Sin comprobar</t>
  </si>
  <si>
    <t>Cloudflare, CDN o WAF</t>
  </si>
  <si>
    <t>Muchas comprobaciones solo tienen sentido en algunos casos. Filtra por esta columna y marca «No aplica» en lo que no sea tu caso.</t>
  </si>
  <si>
    <t>Cloudflare, CDN o cortafuegos, si tienes algo por delante. Condiciona lo que se ve desde fuera y hay cachés que purgar.</t>
  </si>
  <si>
    <t>¿Sirve el mismo contenido en móvil que en escritorio?</t>
  </si>
  <si>
    <t>Muchas campañas redirigen solo en móvil, que es donde el dueño de la web casi nunca mira.</t>
  </si>
  <si>
    <t>Una fila de ejemplo, para que se vea el formato:</t>
  </si>
  <si>
    <t>Pasarela de pago</t>
  </si>
  <si>
    <t>Abre la web en el móvil con datos, no con tu wifi, y navega por varias páginas. Muchas campañas redirigen solo ahí.</t>
  </si>
  <si>
    <t>Pasarela de pago, si tienes tienda y te han avisado.</t>
  </si>
  <si>
    <t>Valora si tienes que notificar la brecha a la AEPD (RGPD art. 33)</t>
  </si>
  <si>
    <t>Si han podido acceder a datos personales, tienes 72 horas para notificarlo a la Agencia Española de Protección de Datos desde que te enteras. Que la web sea pequeña y tuya no te libra. Documenta la valoración y la decisión aunque decidas no notificar, porque lo que te van a pedir luego es el razonamiento.</t>
  </si>
  <si>
    <t>Sistema de copias</t>
  </si>
  <si>
    <t>Si hay datos personales</t>
  </si>
  <si>
    <t>¿Se comporta igual llegando desde Google que directamente?</t>
  </si>
  <si>
    <t>El sistema de copias, sea plugin o del hosting, para ver qué hay y de qué fecha.</t>
  </si>
  <si>
    <t>El clásico: tú entras por tu marcador y ves la web perfecta, y quien llega desde Google acaba en otra parte.</t>
  </si>
  <si>
    <t>Busca tu web en Google y entra desde el resultado, no desde un marcador. Es la comprobación que más veces destapa el problema.</t>
  </si>
  <si>
    <t>Un usuario administrador que sepas que es tuyo</t>
  </si>
  <si>
    <t>¿Termina la navegación en el mismo dominio?</t>
  </si>
  <si>
    <t>Y comprueba que no hay otros administradores que no reconozcas antes de fiarte de nada de lo que veas en el escritorio.</t>
  </si>
  <si>
    <t>Cadena de redirecciones que acaba en un dominio de terceros.</t>
  </si>
  <si>
    <t>Fíjate en la barra de direcciones después de cargar. Si acabas en otro dominio, tienes una cadena de redirecciones montada.</t>
  </si>
  <si>
    <t>Decide si tienes que avisar también a los afectados (RGPD art. 34)</t>
  </si>
  <si>
    <t>Información</t>
  </si>
  <si>
    <t>Qué han visto y desde cuándo</t>
  </si>
  <si>
    <t>Cuando el riesgo para las personas es alto, además de notificar a la Agencia hay que avisarlas a ellas. La decisión es tuya como responsable del tratamiento, no de quien te limpie la web. Si tienes asesoría de protección de datos, esta llamada es para ellos.</t>
  </si>
  <si>
    <t>Contenido inyectado</t>
  </si>
  <si>
    <t>Qué has visto y desde cuándo, con tus palabras. La fecha aproximada ayuda a acotar el resto.</t>
  </si>
  <si>
    <t>Deja la carpeta de subidas sin un solo PHP</t>
  </si>
  <si>
    <t>¿Está el HTML libre de bloques codificados sospechosos?</t>
  </si>
  <si>
    <t>Cadenas base64 largas, eval o atob dentro del HTML servido.</t>
  </si>
  <si>
    <t>Qué han tocado ya</t>
  </si>
  <si>
    <t>Qué has tocado ya. Media limpieza se complica por lo que se hizo antes de pararse a pensar, así que apúntalo sin reproches.</t>
  </si>
  <si>
    <t>Mira el código fuente de la portada (Ctrl+U) y busca cadenas larguísimas de letras y números, o las palabras eval y atob.</t>
  </si>
  <si>
    <t>Hecho</t>
  </si>
  <si>
    <t>10/09/2026</t>
  </si>
  <si>
    <t>Avisos recibidos</t>
  </si>
  <si>
    <t>Tres ficheros en uploads/2024/07, borrados y anotados</t>
  </si>
  <si>
    <t>Avisos que hayas recibido de Google, del hosting, de la pasarela o de tus propios clientes.</t>
  </si>
  <si>
    <t>Cómo vas</t>
  </si>
  <si>
    <t>Copias disponibles y de qué fecha</t>
  </si>
  <si>
    <t>¿Todos los scripts vienen de dominios reconocibles?</t>
  </si>
  <si>
    <t>Decide cuándo puedes parar la web y por cuánto tiempo</t>
  </si>
  <si>
    <t>Copias disponibles y de qué fecha, sobre todo si alguna es anterior al problema.</t>
  </si>
  <si>
    <t>Scripts cargados desde dominios que no son ni el propio ni CDN conocidas.</t>
  </si>
  <si>
    <t>Vas a tener que dejarla en mantenimiento un rato largo. Si vendes, mira antes tus horas buenas y avisa a quien atienda pedidos o teléfono.</t>
  </si>
  <si>
    <t>En el código fuente, revisa cada etiqueta script con src. Todo dominio que no sea el tuyo ni una CDN que reconozcas merece una mirada.</t>
  </si>
  <si>
    <t>Quién tiene acceso y desde qué equipos</t>
  </si>
  <si>
    <t>Quién tiene acceso y desde qué equipos. Si entraron con una contraseña robada, el problema puede estar en un portátil.</t>
  </si>
  <si>
    <t>Comprobaciones</t>
  </si>
  <si>
    <t>1. Contener y guardar pruebas</t>
  </si>
  <si>
    <t>¿Está libre de iframes ocultos?</t>
  </si>
  <si>
    <t>Qué datos personales trata la web</t>
  </si>
  <si>
    <t>Hechas</t>
  </si>
  <si>
    <t>Haz la foto del estado inicial desde fuera</t>
  </si>
  <si>
    <t>Qué datos personales trata la web. Es lo que decide si hay brecha que valorar y el plazo de 72 horas.</t>
  </si>
  <si>
    <t>No aplican</t>
  </si>
  <si>
    <t>Iframes de 1 píxel o con display:none, clásico para distribuir malware.</t>
  </si>
  <si>
    <t>Antes de tocar nada, pasa la web por los escáneres de la hoja «4 Comprobaciones online» y anota lo que salga en cada uno. Es tu punto de partida, y sin él no podrás demostrar después que la has arreglado.</t>
  </si>
  <si>
    <t>Pendientes</t>
  </si>
  <si>
    <t>Busca la palabra iframe en el código fuente. Los de 1 píxel o con display:none no están ahí para nada bueno.</t>
  </si>
  <si>
    <t>Avance</t>
  </si>
  <si>
    <t>Otras webs en la misma cuenta</t>
  </si>
  <si>
    <t>Otras webs en la misma cuenta de hosting.</t>
  </si>
  <si>
    <t>¿Está libre de enlaces salientes de spam?</t>
  </si>
  <si>
    <t>Persona de contacto y horario para parar la web</t>
  </si>
  <si>
    <t>Enlaces a farmacia, casino, réplicas o préstamos, muchas veces ocultos con CSS.</t>
  </si>
  <si>
    <t>Haz capturas de todo lo que se vea mal</t>
  </si>
  <si>
    <t>Cuándo puedes parar la web sin cargarte el día. En una tienda, esto no se improvisa.</t>
  </si>
  <si>
    <t>Busca en el código fuente términos de farmacia, casino, réplicas o préstamos. Suelen ir escondidos con CSS, así que en pantalla no se ven.</t>
  </si>
  <si>
    <t>La portada como la ve un visitante, el aviso de Google si lo hay, la pantalla de Search Console y los escáneres que marquen algo. Hazlas también desde el móvil, que muchas infecciones solo se ven ahí.</t>
  </si>
  <si>
    <t>Pedidos y pagos del periodo afectado</t>
  </si>
  <si>
    <t>Pedidos y pagos del periodo afectado, si tienes tienda, para valorar si hubo captura de datos de pago.</t>
  </si>
  <si>
    <t>¿La búsqueda interna está limpia de términos de spam?</t>
  </si>
  <si>
    <t>Descarga una copia completa de la web infectada y guárdala aparte</t>
  </si>
  <si>
    <t>Si el buscador de tu propia web devuelve resultados con palabras de spam, tienes contenido inyectado y publicado.</t>
  </si>
  <si>
    <t>Ficheros y base de datos tal como están ahora, con el bicho dentro, bajados a tu ordenador o a un disco externo. No la borres al terminar. Si más adelante aparece algo, o alguien te pregunta qué pasó, es lo único que lo prueba. Anota la fecha.</t>
  </si>
  <si>
    <t>Usa el buscador de tu propia web con esas mismas palabras. Si devuelve resultados, tienes contenido inyectado y publicado.</t>
  </si>
  <si>
    <t>Un ordenador del que te fíes</t>
  </si>
  <si>
    <t>Si el vector fueron credenciales robadas de un equipo con malware, limpiar la web desde ese mismo equipo es empezar la casa por el tejado. Pasa un antivirus antes.</t>
  </si>
  <si>
    <t>¿El sitemap solo tiene URLs del negocio?</t>
  </si>
  <si>
    <t>Mira qué copias de seguridad tienes y de qué fecha</t>
  </si>
  <si>
    <t>URLs ajenas al negocio o un número de entradas que no cuadra.</t>
  </si>
  <si>
    <t>Las del hosting, las del plugin de copias y las que hayas descargado alguna vez. Lo que importa es si alguna es anterior al día en que empezó esto, porque eso decide el punto siguiente.</t>
  </si>
  <si>
    <t>Abre tu sitemap.xml y mira si el número de URLs cuadra con lo que tienes publicado, y si hay direcciones que no reconoces.</t>
  </si>
  <si>
    <t>media</t>
  </si>
  <si>
    <t>Decide si restauras una copia limpia o limpias lo que hay</t>
  </si>
  <si>
    <t>¿El título y la descripción de la portada son los del negocio?</t>
  </si>
  <si>
    <t>Restaurar es más rápido y más seguro, pero pierdes todo lo publicado desde esa fecha y no cierra el agujero por el que entraron. Si restauras, tendrás que hacer igualmente las fases 5 y 6 o volverás a estar donde estabas. Anota por qué has elegido lo que has elegido.</t>
  </si>
  <si>
    <t>Cuando cambian, o hay defacement o hay dopaje de SEO.</t>
  </si>
  <si>
    <t>Busca tu web en Google y mira el título y la descripción que salen. Cuando cambian, o hay defacement o hay dopaje de SEO.</t>
  </si>
  <si>
    <t>Pon la web en mantenimiento mientras trabajas</t>
  </si>
  <si>
    <t>Superficie y ficheros</t>
  </si>
  <si>
    <t>Con un aviso claro y devolviendo un código 503, que es el que le dice a Google que la parada es temporal. Si dejas la web en pie mientras limpias, sigues repartiendo malware entre tus visitantes.</t>
  </si>
  <si>
    <t>¿No responden rutas de puertas traseras conocidas?</t>
  </si>
  <si>
    <t>Se prueban nombres habituales de shells subidos por atacantes.</t>
  </si>
  <si>
    <t>Prueba en el navegador nombres habituales de shells sobre tu dominio. Cualquiera que devuelva algo distinto de un 404 es un problema.</t>
  </si>
  <si>
    <t>Con cuidado</t>
  </si>
  <si>
    <t>¿No hay PHP accesible en la carpeta de subidas?</t>
  </si>
  <si>
    <t>En /uploads no debería ejecutarse nada.</t>
  </si>
  <si>
    <t>Busca ficheros .php dentro de wp-content/uploads por FTP o por el gestor de archivos. No debería haber ninguno.</t>
  </si>
  <si>
    <t>Revisa el resto de webs de la misma cuenta de hosting</t>
  </si>
  <si>
    <t>¿Están cerrados install.php y los ficheros de instalación?</t>
  </si>
  <si>
    <t>El salto de una web a otra dentro de la misma cuenta es de lo más común que hay. Si tienes tres webs en el mismo alojamiento, tienes tres webs que revisar antes de dar nada por limpio.</t>
  </si>
  <si>
    <t>Puerta de entrada para reinstalar por encima y quedarse con el sitio.</t>
  </si>
  <si>
    <t>Si hay más webs en la misma cuenta</t>
  </si>
  <si>
    <t>Comprueba que tudominio.com/wp-admin/install.php no deja reinstalar nada.</t>
  </si>
  <si>
    <t>Comprueba si tu dominio está enviando spam</t>
  </si>
  <si>
    <t>¿Está inaccesible el repositorio .git?</t>
  </si>
  <si>
    <t>Mira la cola de correo en el panel del hosting y las cuentas con envíos que no cuadran. Si sale spam, córtalo antes de pedir que te saquen de ninguna lista negra.</t>
  </si>
  <si>
    <t>Un .git expuesto entrega el código fuente y a veces credenciales.</t>
  </si>
  <si>
    <t>Prueba tudominio.com/.git/config en el navegador. Si te descarga algo, estás entregando el código fuente y a veces credenciales.</t>
  </si>
  <si>
    <t>Avisa a tu hosting y pídeles los registros</t>
  </si>
  <si>
    <t>Ellos tienen logs que tú no ves y muchas veces te dan la hora exacta del primer acceso raro. Además, si estaban a punto de suspenderte la cuenta, conviene que sepan que ya estás con ello.</t>
  </si>
  <si>
    <t>¿No hay copias descargables en la raíz?</t>
  </si>
  <si>
    <t>Un .zip o .sql accesible es la base de datos entera al alcance de cualquiera.</t>
  </si>
  <si>
    <t>Corta las sesiones abiertas y limita el acceso</t>
  </si>
  <si>
    <t>Prueba en el navegador los nombres típicos de copias en la raíz, con extensión .zip o .sql. Un fichero así accesible es tu base de datos entera al alcance de cualquiera.</t>
  </si>
  <si>
    <t>Mientras limpias, quien entró puede volver y reinfectar por detrás. Cierra las sesiones activas y, si el hosting te deja, limita el acceso al escritorio a tu IP.</t>
  </si>
  <si>
    <t>¿Está inaccesible debug.log?</t>
  </si>
  <si>
    <t>Suele filtrar rutas y a veces datos personales.</t>
  </si>
  <si>
    <t>Guarda tu propio código antes de tocar nada</t>
  </si>
  <si>
    <t>Prueba tudominio.com/wp-content/debug.log. Suele filtrar rutas del servidor y a veces datos personales.</t>
  </si>
  <si>
    <t>El de Analytics, los píxeles, las verificaciones de propiedad de Search Console, el CSS que hayas metido a mano y las funciones sueltas del functions.php. Al reinstalar el tema y los plugins se pierde todo eso, y luego cuesta acordarse de lo que había.</t>
  </si>
  <si>
    <t>2. Averiguar qué ha pasado</t>
  </si>
  <si>
    <t>¿Está inaccesible el fichero .env?</t>
  </si>
  <si>
    <t>Revisa a mano el código que te haya salido raro</t>
  </si>
  <si>
    <t>Si existe y es accesible, entrega credenciales en texto plano.</t>
  </si>
  <si>
    <t>Las búsquedas de patrones te dan candidatos, no culpables. Antes de borrar nada, abre el fichero y mira qué hace. Si es del núcleo o de un plugin del repositorio, compáralo con el original y verás la diferencia enseguida.</t>
  </si>
  <si>
    <t>Prueba tudominio.com/.env. Si existe y responde, estás entregando credenciales en texto plano.</t>
  </si>
  <si>
    <t>¿No hay clones o staging públicos?</t>
  </si>
  <si>
    <t>Averigua por dónde entraron</t>
  </si>
  <si>
    <t>Una copia olvidada y sin actualizar es la vía de entrada perfecta.</t>
  </si>
  <si>
    <t>Un plugin sin actualizar, un tema pirata, una contraseña filtrada, un formulario que permitía subir ficheros. Si no lo encuentras, no lo des por cerrado: trabaja como si la puerta siguiera abierta, porque limpiar sin cerrarla acaba siempre igual.</t>
  </si>
  <si>
    <t>Busca clones olvidados en subdominios o subcarpetas del tipo /old, /dev o /copia. Una copia sin actualizar es la vía de entrada perfecta.</t>
  </si>
  <si>
    <t>Infraestructura</t>
  </si>
  <si>
    <t>Averigua la fecha de la primera modificación rara</t>
  </si>
  <si>
    <t>¿Los registros MX son los que deberían?</t>
  </si>
  <si>
    <t>Ordena los ficheros por fecha de modificación y busca el más antiguo que no cuadre. Esa fecha te dice qué copias de seguridad te sirven y cuáles ya vienen con el problema dentro.</t>
  </si>
  <si>
    <t>Un MX cambiado significa correo secuestrado.</t>
  </si>
  <si>
    <t>Mira los registros MX de tu dominio con cualquier consultor de DNS. Un MX cambiado significa correo secuestrado.</t>
  </si>
  <si>
    <t>Averigua hasta dónde llegó</t>
  </si>
  <si>
    <t>Ficheros, base de datos, usuarios, correo y las otras webs de la cuenta. De esto depende el trabajo que te queda y si además tienes un problema con datos personales.</t>
  </si>
  <si>
    <t>¿El SPF está bien y sin IPs ajenas?</t>
  </si>
  <si>
    <t>Un SPF que autoriza servidores que no son los tuyos es spam saliente firmado por tu propio dominio.</t>
  </si>
  <si>
    <t>Consulta el registro TXT del SPF. Si autoriza servidores que no son los tuyos, es spam saliente firmado por tu propio dominio.</t>
  </si>
  <si>
    <t>Revisa los registros del servidor</t>
  </si>
  <si>
    <t>Accesos por FTP a horas raras, peticiones POST a ficheros que en un WordPress normal no existen, picos de tráfico sin explicación. Ahí suele estar la hora del crimen y a veces también la IP.</t>
  </si>
  <si>
    <t>¿Hay DMARC publicado?</t>
  </si>
  <si>
    <t>Sin DMARC, cualquiera puede suplantar el dominio en el correo.</t>
  </si>
  <si>
    <t>Consulta el TXT de _dmarc.tudominio.com. Sin DMARC, cualquiera puede suplantarte en el correo.</t>
  </si>
  <si>
    <t>¿Los subdominios con certificado son todos conocidos?</t>
  </si>
  <si>
    <t>Busca patrones de código sospechoso en los ficheros</t>
  </si>
  <si>
    <t>Por Certificate Transparency aparecen subdominios creados por el atacante.</t>
  </si>
  <si>
    <t>En la hoja «6 Patrones de código» tienes lo que hay que buscar y qué significa cada cosa. Con acceso SSH vas rápido con grep; si no lo tienes, el buscador del gestor de archivos del hosting también sirve. Son indicios y no sentencias, porque hay código legítimo que usa lo mismo.</t>
  </si>
  <si>
    <t>En crt.sh, con el enlace de la hoja 4, salen los subdominios que han pedido certificado. Ahí aparecen los que creó el atacante.</t>
  </si>
  <si>
    <t>¿Las cabeceras de seguridad están puestas?</t>
  </si>
  <si>
    <t>No detectan un compromiso, pero forman parte del endurecimiento posterior.</t>
  </si>
  <si>
    <t>Compara el núcleo con una copia limpia de tu misma versión</t>
  </si>
  <si>
    <t>Con el analizador de cabeceras de la hoja 4. No detectan un compromiso, pero forman parte de dejar la web mejor de como estaba.</t>
  </si>
  <si>
    <t>baja</t>
  </si>
  <si>
    <t>Descarga de wordpress.org el zip de tu versión exacta y compara carpeta por carpeta. Todo lo que aparezca en wp-admin o en wp-includes y no esté en el original es candidato. Si tu hosting tiene WP-CLI, wp core verify-checksums te lo hace de una vez.</t>
  </si>
  <si>
    <t>3. Limpiar los ficheros</t>
  </si>
  <si>
    <t>¿El certificado es válido y con la cadena completa?</t>
  </si>
  <si>
    <t>Reinstala el núcleo de WordPress</t>
  </si>
  <si>
    <t>Un certificado roto tras el ataque suele indicar que se tocó la configuración del servidor.</t>
  </si>
  <si>
    <t>Desde Escritorio, Actualizaciones, con el botón de reinstalar la versión actual. Si vas atrasado, sube a la última. Esto sustituye wp-admin y wp-includes por ficheros limpios, pero no toca wp-content ni borra los ficheros que hayan añadido.</t>
  </si>
  <si>
    <t>Con SSL Labs, en la hoja 4. Un certificado roto después del ataque suele querer decir que alguien tocó la configuración del servidor.</t>
  </si>
  <si>
    <t>Reinstala plugins y temas desde el origen, no desde tu web</t>
  </si>
  <si>
    <t>Bórralos e instálalos de nuevo bajándolos del repositorio de WordPress o de la web del desarrollador. Reinstalar por encima de lo que hay deja intactos los ficheros que el atacante añadió dentro de esas carpetas.</t>
  </si>
  <si>
    <t>¿El servidor oculta su versión y la de PHP?</t>
  </si>
  <si>
    <t>Facilita al siguiente elegir el exploit adecuado.</t>
  </si>
  <si>
    <t>En las cabeceras de respuesta, mira si el servidor va publicando su versión y la de PHP. Le pone fácil al siguiente elegir con qué atacarte.</t>
  </si>
  <si>
    <t>Elimina los plugins y temas pirata, abandonados o retirados</t>
  </si>
  <si>
    <t>Un plugin nulled es la vía de entrada más común que existe y no tiene arreglo posible, solo se quita. Lo mismo con lo que lleve años sin actualizarse o lo hayan retirado del repositorio. Si no puedes vivir sin esa función, busca un sustituto mantenido antes de seguir.</t>
  </si>
  <si>
    <t>Reputación</t>
  </si>
  <si>
    <t>Puede romper la web</t>
  </si>
  <si>
    <t>¿La IP del servidor está en listas negras de correo?</t>
  </si>
  <si>
    <t>Si la IP de tu servidor está en una lista negra, tu correo deja de llegar a medio mundo.</t>
  </si>
  <si>
    <t>Con el enlace de Spamhaus o el de MxToolbox de la hoja 4. Si sale la IP de tu servidor, tu correo está rebotando en medio mundo.</t>
  </si>
  <si>
    <t>Borra los ficheros que sobran en el núcleo</t>
  </si>
  <si>
    <t>Lo que aparezca en wp-admin o en wp-includes y no esté en el zip original de tu versión. En esas dos carpetas no debe haber nada tuyo, así que ahí no hay duda posible.</t>
  </si>
  <si>
    <t>Elimina las puertas traseras y anota las rutas</t>
  </si>
  <si>
    <t>Guarda la lista de lo que borras y dónde estaba. Si queda una sola, en unos días vuelve todo, y esa lista es lo primero que vas a querer mirar cuando pase.</t>
  </si>
  <si>
    <t>En wp-content/uploads no pinta nada un fichero .php. Busca por extensión en toda la carpeta, borra lo que salga y de paso bloquea la ejecución de PHP ahí con una regla en el .htaccess.</t>
  </si>
  <si>
    <t>Revisa todos los .htaccess, no solo el de la raíz</t>
  </si>
  <si>
    <t>Las reglas de redirección se esconden en carpetas donde nadie mira. Acuérdate de que son ficheros ocultos y de que tu cliente de FTP puede no estar enseñándotelos.</t>
  </si>
  <si>
    <t>Mira los drop-ins de wp-content</t>
  </si>
  <si>
    <t>object-cache.php, advanced-cache.php, db.php, sunrise.php y compañía se cargan siempre y no aparecen en la lista de plugins. Si tienes alguno y no sabes qué plugin lo puso, ahí tienes algo que revisar.</t>
  </si>
  <si>
    <t>Revisa wp-config.php de arriba abajo</t>
  </si>
  <si>
    <t>Código añadido al final del fichero, includes de rutas raras, constantes cambiadas. Si no tienes claro qué debería haber, compáralo con el wp-config-sample.php que viene en el zip de WordPress.</t>
  </si>
  <si>
    <t>Revisa la carpeta mu-plugins</t>
  </si>
  <si>
    <t>Lo que hay ahí se activa solo, no se puede desactivar desde el escritorio y no sale en la lista de plugins, así que es de los sitios favoritos para esconderse. Si wp-content/mu-plugins existe y tú no la creaste, míralo con calma.</t>
  </si>
  <si>
    <t>4. Limpiar la base de datos</t>
  </si>
  <si>
    <t>Haz una copia de la base de datos antes de tocarla</t>
  </si>
  <si>
    <t>Aparte de la copia completa que ya tienes guardada, esta es la de trabajo. Una limpieza masiva mal hecha se lleva contenido por delante y vas a querer poder volver atrás.</t>
  </si>
  <si>
    <t>Limpia el contenido inyectado en entradas y páginas</t>
  </si>
  <si>
    <t>Scripts e iframes metidos dentro del contenido. Hazlo mirando lo que cambias, porque un buscar y reemplazar a ciegas sobre la base de datos se lleva por delante cosas que no tocaba.</t>
  </si>
  <si>
    <t>Revisa la tabla de opciones</t>
  </si>
  <si>
    <t>Mira siteurl y home, las opciones que lleven etiquetas script dentro, las que tengan nombres sin sentido y las que estén marcadas para cargarse siempre sin venir a cuento.</t>
  </si>
  <si>
    <t>Limpia las tareas programadas</t>
  </si>
  <si>
    <t>Busca hooks que no correspondan a ningún plugin que tengas instalado. Suelen ser el mecanismo con el que la web se reinfecta sola a los pocos días de darla por limpia.</t>
  </si>
  <si>
    <t>Borra los administradores que no reconozcas</t>
  </si>
  <si>
    <t>Y revisa uno por uno los que quedan, porque a veces no crean un usuario nuevo: suben de rol a un suscriptor que llevaba años ahí sin molestar.</t>
  </si>
  <si>
    <t>Limpia los perfiles de usuario con enlaces de spam</t>
  </si>
  <si>
    <t>Cuentas creadas en masa que llevan un enlace en el campo de la web del perfil. Eso se indexa, así que es spam publicado en tu dominio aunque tú no lo veas.</t>
  </si>
  <si>
    <t>Borra el spam de comentarios acumulado</t>
  </si>
  <si>
    <t>Los masivos, los que llevan meses esperando moderación y los que se aprobaron y no deberían. Si son miles, bórralos por lotes o el servidor se va a quejar.</t>
  </si>
  <si>
    <t>Purga los transients</t>
  </si>
  <si>
    <t>A veces guardan la carga y la vuelven a inyectar cuando ya creías que habías terminado. Los borras desde el propio WordPress con un plugin de limpieza o directamente en la tabla de opciones.</t>
  </si>
  <si>
    <t>Revisa las tablas huérfanas</t>
  </si>
  <si>
    <t>Las de plugins que ya no tienes y las que no corresponden a nada conocido. Antes de borrar ninguna, ábrela y mira qué hay dentro.</t>
  </si>
  <si>
    <t>Valora si cambias el prefijo de las tablas</t>
  </si>
  <si>
    <t>No es una medida de seguridad seria y hacerlo mal deja la web fuera de servicio. Solo tiene sentido si estabas en wp_ y la entrada fue por una inyección SQL.</t>
  </si>
  <si>
    <t>Solo si la entrada fue por inyección SQL</t>
  </si>
  <si>
    <t>5. Cerrar la puerta</t>
  </si>
  <si>
    <t>Regenera las claves de seguridad (salts)</t>
  </si>
  <si>
    <t>Genera unas nuevas en la API de WordPress y sustitúyelas en wp-config.php. Con eso se cierran todas las sesiones abiertas, la tuya y la de quien estuviera dentro.</t>
  </si>
  <si>
    <t>Cambia las contraseñas de todos los administradores</t>
  </si>
  <si>
    <t>Todas, no solo la tuya, y que sean únicas de verdad, no una variación de la anterior con un número al final.</t>
  </si>
  <si>
    <t>Cambia la contraseña de la base de datos</t>
  </si>
  <si>
    <t>Desde el panel del hosting, y acuérdate de ponerla también en wp-config.php o la web se queda sin poder conectarse.</t>
  </si>
  <si>
    <t>Cambia los accesos de hosting y FTP</t>
  </si>
  <si>
    <t>El panel, las cuentas de FTP y las de SSH si las hay. Aprovecha para borrar las cuentas de FTP que no uses, que en una web con años suelen ser unas cuantas.</t>
  </si>
  <si>
    <t>Rota las claves de API y los tokens</t>
  </si>
  <si>
    <t>Pasarelas de pago, servicios de correo, integraciones con terceros. Si estaban en wp-config.php o en la base de datos, dalas por comprometidas.</t>
  </si>
  <si>
    <t>Activa el doble factor para los administradores</t>
  </si>
  <si>
    <t>Es lo que más ataques evita por lo poco que cuesta ponerlo. Con la contraseña sola no basta, porque las contraseñas se filtran en sitios que tú no controlas.</t>
  </si>
  <si>
    <t>Desactiva el editor de ficheros del escritorio</t>
  </si>
  <si>
    <t>Añade define('DISALLOW_FILE_EDIT', true); a wp-config.php. Así, si alguien vuelve a entrar con un usuario administrador, no puede editar plugins y temas desde el navegador.</t>
  </si>
  <si>
    <t>Corrige los permisos de ficheros y carpetas</t>
  </si>
  <si>
    <t>6. Comprobar que está limpia</t>
  </si>
  <si>
    <t>644 en ficheros y 755 en carpetas es lo normal. Si encuentras algo en 777, ahí puede escribir cualquiera.</t>
  </si>
  <si>
    <t>Deja el núcleo, los plugins y los temas al día</t>
  </si>
  <si>
    <t>Todo, incluido lo que tengas desactivado, porque un plugin desactivado sigue siendo un fichero al que se puede llamar desde fuera.</t>
  </si>
  <si>
    <t>Sustituye lo que ya no tenga mantenimiento</t>
  </si>
  <si>
    <t>Lo abandonado o retirado del repositorio no se va a actualizar nunca más, así que su próximo fallo de seguridad no lo va a arreglar nadie.</t>
  </si>
  <si>
    <t>7. Recuperar la reputación</t>
  </si>
  <si>
    <t>Pon vigilancia de cambios en ficheros y de vulnerabilidades</t>
  </si>
  <si>
    <t>Es lo que te avisa la próxima vez antes de que se entere Google. Vigilante vigila los cambios en ficheros y las vulnerabilidades de lo que tienes instalado, y es gratuito.</t>
  </si>
  <si>
    <t>Total</t>
  </si>
  <si>
    <t>Comprueba que las copias funcionan y prueba a restaurar una</t>
  </si>
  <si>
    <t>Una copia que no has restaurado nunca no es una copia, es una carpeta. Prueba la restauración en un entorno de pruebas, no encima de la web buena.</t>
  </si>
  <si>
    <t>Revoca los accesos que ya no hagan falta</t>
  </si>
  <si>
    <t>El de quien te montó la web hace tres años, el de la agencia que ya no lleva nada, el usuario que creaste para una prueba. Cada acceso que sobra es una puerta más.</t>
  </si>
  <si>
    <t>Repite las comprobaciones de fuera y compáralas con las del principio</t>
  </si>
  <si>
    <t>Las mismas de la hoja «4 Comprobaciones online», con la misma vara de medir. Lo que siga en rojo, o lo arreglas o sabes explicar por qué está así.</t>
  </si>
  <si>
    <t>Vuelve a buscar los patrones de código</t>
  </si>
  <si>
    <t>La segunda pasada es la que encuentra lo que se quedó a medias. Si aparece algo que no estaba en la primera, es que sigue habiendo una vía abierta y hay que volver a la fase 2.</t>
  </si>
  <si>
    <t>Haz las capturas del estado final</t>
  </si>
  <si>
    <t>Las mismas que hiciste al empezar, para poder ponerlas al lado y ver el antes y el después.</t>
  </si>
  <si>
    <t>Espera 72 horas y vuelve a mirar</t>
  </si>
  <si>
    <t>Si vuelve, es que queda una puerta trasera o el agujero de entrada sigue abierto. No des el trabajo por terminado el mismo día que acabas.</t>
  </si>
  <si>
    <t>Quita el modo mantenimiento y comprueba que la portada responde 200</t>
  </si>
  <si>
    <t>Un 503 que se queda puesto se come el posicionamiento en pocos días. Comprueba también que has borrado el fichero de la página de aviso, que se olvida más de lo que parece.</t>
  </si>
  <si>
    <t>Vuelve a poner tu código y comprueba que funciona</t>
  </si>
  <si>
    <t>Que la analítica registre visitas otra vez y que las verificaciones de propiedad sigan en pie. Comprobado de verdad, abriendo el panel, no dado por hecho.</t>
  </si>
  <si>
    <t>Pide la revisión de seguridad en Search Console</t>
  </si>
  <si>
    <t>En Seguridad y acciones manuales, Problemas de seguridad. Solo con la web ya limpia, porque un intento gastado con la web todavía sucia alarga la espera.</t>
  </si>
  <si>
    <t>Si Google marcó la web</t>
  </si>
  <si>
    <t>De dónde sale esto</t>
  </si>
  <si>
    <t>Confirma que el aviso de Google ha desaparecido, y anota la fecha</t>
  </si>
  <si>
    <t>En Search Console y en el informe de transparencia. Apunta el día, que es lo que le vas a decir a quien te escriba diciendo que le sale que tu web es peligrosa.</t>
  </si>
  <si>
    <t>Es el protocolo que seguimos en AyudaWP para limpiar una web infectada, recortado a lo que puede hacer el dueño de la web por su cuenta. Puedes usarlo y compartirlo. Si a mitad de camino ves que se te va de las manos, escríbenos antes de tocar más.</t>
  </si>
  <si>
    <t>Pide la revisión en Bing Webmaster Tools</t>
  </si>
  <si>
    <t>Alimenta a otros buscadores y a algunos antivirus, así que no te lo saltes aunque Bing te traiga poco tráfico.</t>
  </si>
  <si>
    <t>Tutoriales y guías de WordPress</t>
  </si>
  <si>
    <t>Sucuri SiteCheck limpio, con captura</t>
  </si>
  <si>
    <t>Es el escáner que suelen mirar los clientes y del que beben bastantes otros. Si sigue marcando algo después de limpiar, es que queda algo: míralo antes de discutir con nadie.</t>
  </si>
  <si>
    <t>VirusTotal limpio, con captura</t>
  </si>
  <si>
    <t>Veredicto agregado de decenas de motores. Cada uno que te marque tiene su propio proceso para pedir la revisión, así que empieza por los que salgan en rojo en la ficha del dominio.</t>
  </si>
  <si>
    <t>Informe de transparencia de Google en verde, con captura</t>
  </si>
  <si>
    <t>Es la página pública de tu dominio en Safe Browsing, la que ven tus contactos cuando te dicen que su navegador les avisa.</t>
  </si>
  <si>
    <t>Norton Safe Web sin marcas, con captura</t>
  </si>
  <si>
    <t>Afecta a muchos antivirus de escritorio, así que puede seguir dando la lata cuando Google ya te ha quitado el aviso.</t>
  </si>
  <si>
    <t>Quttera limpio, con captura</t>
  </si>
  <si>
    <t>Segunda opinión, útil cuando SiteCheck ya está limpio y todavía hay quien te dice que le salta algo.</t>
  </si>
  <si>
    <t>URLVoid sin marcas, con captura</t>
  </si>
  <si>
    <t>Agrega listas de reputación de varios sitios. Si queda alguna encendida, te dice cuál es y así sabes a quién reclamar.</t>
  </si>
  <si>
    <t>Herramientas gratuitas</t>
  </si>
  <si>
    <t>Pide la retirada a los antivirus que te marcaban</t>
  </si>
  <si>
    <t>Cada uno tiene su formulario y sus plazos, que se cuentan en días. En la hoja «5 Reputación y retiradas» tienes dónde se pide cada cosa.</t>
  </si>
  <si>
    <t>Si algún antivirus marcaba la web</t>
  </si>
  <si>
    <t>Pide la salida de las listas negras de correo</t>
  </si>
  <si>
    <t>Después de cortar el envío de spam, nunca antes. Si lo pides con el servidor todavía mandando, vuelves a entrar al día siguiente y la segunda vez cuesta más salir.</t>
  </si>
  <si>
    <t>Si hubo spam saliente</t>
  </si>
  <si>
    <t>Retira del índice las páginas de spam y pide que se reindexe lo bueno</t>
  </si>
  <si>
    <t>Google no retira URLs porque se lo pidas. La herramienta de Retirada de Search Console solo las oculta unos seis meses y es un parche mientras el índice se refresca. Lo que las quita de verdad es que la URL devuelva 410 o 404, sin redirigirla a la portada, y esperar a que Google la vuelva a rastrear: de días a semanas si son pocas, meses si el spam generó miles. El orden es 410 en las URLs basura, sitemap limpio reenviado, retirada temporal para las que se vean en Google, y solicitud de indexación de las páginas buenas que se hayan perdido, de una en una desde Inspección de URL. En Bing sí hay bloqueo de URLs y va más rápido. Un botón para reindexar el sitio entero no existe.</t>
  </si>
  <si>
    <t>Si hubo spam SEO</t>
  </si>
  <si>
    <t>Limpieza de webs infectadas</t>
  </si>
  <si>
    <t>Pide al hosting que reactive la cuenta</t>
  </si>
  <si>
    <t>Con un resumen de lo que encontraste, lo que borraste y las medidas que has dejado puestas. Un ticket concreto se resuelve mucho antes que un «ya está arreglado».</t>
  </si>
  <si>
    <t>Si el hosting suspendió o limitó la cuenta</t>
  </si>
  <si>
    <t>Responde a la pasarela de pago</t>
  </si>
  <si>
    <t>Mantenimiento mensual de WordPress</t>
  </si>
  <si>
    <t>Por escrito, con lo corregido y las medidas puestas. Si hubo datos de pago afectados, esto va de la mano de lo de la brecha.</t>
  </si>
  <si>
    <t>Si tienes tienda y avisó la pasarela</t>
  </si>
  <si>
    <t>Busca site:tudominio en Google hasta que no salga basura</t>
  </si>
  <si>
    <t>Comprobaciones online</t>
  </si>
  <si>
    <t>Y la variante con términos de spam, que la tienes montada en la hoja «4 Comprobaciones online». Mientras devuelva resultados, la retirada no ha terminado aunque la web ya esté limpia.</t>
  </si>
  <si>
    <t>Escribe tu dominio en la portada y los enlaces se montan solos. Guarda una captura de cada uno antes de limpiar: es la única forma de demostrar después que la web estaba mal y ya no lo está.</t>
  </si>
  <si>
    <t>Repite el análisis de seguridad y compáralo con el del principio</t>
  </si>
  <si>
    <t>La misma herramienta que pasaste al empezar, para ver el antes y el después con la misma vara de medir.</t>
  </si>
  <si>
    <t>Vigilante, para que no vuelva a pasar</t>
  </si>
  <si>
    <t>Servicio</t>
  </si>
  <si>
    <t>Para qué sirve</t>
  </si>
  <si>
    <t>Cuándo se pasa</t>
  </si>
  <si>
    <t>Enlace</t>
  </si>
  <si>
    <t>Versión 1.0 · 2026-09-10 · ayudawp.com</t>
  </si>
  <si>
    <t>Análisis de seguridad de AyudaWP</t>
  </si>
  <si>
    <t>Cabeceras, exposición y configuración de un vistazo, sin instalar nada. Vale como foto del antes y del después.</t>
  </si>
  <si>
    <t>Antes y después</t>
  </si>
  <si>
    <t>Pega tu dominio en la herramienta. Guarda captura.</t>
  </si>
  <si>
    <t>Cabeceras de seguridad de AyudaWP</t>
  </si>
  <si>
    <t>Para la parte de dejar la web mejor de como estaba, cuando ya esté limpia.</t>
  </si>
  <si>
    <t>Al terminar</t>
  </si>
  <si>
    <t>Pega tu dominio en la herramienta.</t>
  </si>
  <si>
    <t>Auditoría del tema</t>
  </si>
  <si>
    <t>Si sospechas del tema, o si estás decidiendo si lo cambias.</t>
  </si>
  <si>
    <t>Antes de limpiar</t>
  </si>
  <si>
    <t>Visibilidad para IA</t>
  </si>
  <si>
    <t>Después de un spam SEO, para ver cómo ha quedado la web de cara a los buscadores y a los modelos de IA.</t>
  </si>
  <si>
    <t>Límite de rastreo</t>
  </si>
  <si>
    <t>Cuántas URLs ve un rastreador en tu web. Delata las páginas basura que dejó el spam.</t>
  </si>
  <si>
    <t>Auditoría SEO de AyudaWP</t>
  </si>
  <si>
    <t>Después de un spam SEO, para ver cómo ha quedado la web y tener con qué compararla dentro de unas semanas.</t>
  </si>
  <si>
    <t>Sucuri SiteCheck</t>
  </si>
  <si>
    <t>Escáner del que beben bastantes otros. Suele ser el que mira quien te avisa de que tu web está rara.</t>
  </si>
  <si>
    <t>Guarda captura.</t>
  </si>
  <si>
    <t>VirusTotal</t>
  </si>
  <si>
    <t>Veredicto agregado de decenas de motores de antivirus.</t>
  </si>
  <si>
    <t>Reputación y retiradas</t>
  </si>
  <si>
    <t>Estar limpio y parecerlo son dos trabajos distintos. Esta parte va después de la limpieza, nunca antes, y se cuenta en días.</t>
  </si>
  <si>
    <t>Por qué importa</t>
  </si>
  <si>
    <t>Mirar</t>
  </si>
  <si>
    <t>Reclamar</t>
  </si>
  <si>
    <t>Cómo se pide la retirada</t>
  </si>
  <si>
    <t>Google Safe Browsing</t>
  </si>
  <si>
    <t>Si Google tiene tu web marcada, que es lo que hace salir la pantalla roja en Chrome y el aviso en los resultados de búsqueda.</t>
  </si>
  <si>
    <t>Informe de transparencia de Google</t>
  </si>
  <si>
    <t>Estado público del dominio en Safe Browsing.</t>
  </si>
  <si>
    <t>Norton Safe Web</t>
  </si>
  <si>
    <t>Reputación de Norton, que afecta a muchos antivirus de escritorio.</t>
  </si>
  <si>
    <t>Patrones de código que conviene buscar</t>
  </si>
  <si>
    <t>Son indicios y no sentencias, porque el PHP legítimo también usa base64 o eval de vez en cuando. Cada coincidencia se mira con su ruta y su contexto antes de decidir nada. Antes de borrar un fichero, ábrelo y mira qué hace.</t>
  </si>
  <si>
    <t>Quttera</t>
  </si>
  <si>
    <t>Segunda opinión de malware, útil cuando SiteCheck no ve nada y todavía hay quien te dice que le salta un aviso.</t>
  </si>
  <si>
    <t>Con SSH: grep -rEn --include="*.php" "PATRÓN" /ruta/de/tu/web · Sin SSH, el buscador del gestor de archivos del hosting también sirve, aunque tendrás que ir uno por uno.</t>
  </si>
  <si>
    <t>Qué buscar</t>
  </si>
  <si>
    <t>Qué significa si aparece</t>
  </si>
  <si>
    <t>¿Lo encuentras?</t>
  </si>
  <si>
    <t>Dónde (rutas)</t>
  </si>
  <si>
    <t>eval\s*\(\s*base64_decode</t>
  </si>
  <si>
    <t>Ejecutar código codificado en base64. Es la firma clásica de puerta trasera.</t>
  </si>
  <si>
    <t>La retirada se pide en Search Console, en Problemas de seguridad, y solo con la web ya limpia. Un intento gastado con la web todavía sucia alarga la espera.</t>
  </si>
  <si>
    <t>eval\s*\(\s*gzinflate</t>
  </si>
  <si>
    <t>Código comprimido que se ejecuta al vuelo, para esquivar búsquedas.</t>
  </si>
  <si>
    <t>Listas negras de correo (DNSBL)</t>
  </si>
  <si>
    <t>Si la IP de tu servidor está en Spamhaus, Barracuda o SpamCop, tu correo rebota en medio mundo.</t>
  </si>
  <si>
    <t>gzinflate\s*\(\s*str_rot13</t>
  </si>
  <si>
    <t>Doble ofuscación. En código legítimo no se ve nunca.</t>
  </si>
  <si>
    <t>preg_replace\s*\(\s*['\"][^'\"]*['\"]e</t>
  </si>
  <si>
    <t>Modificador /e de preg_replace: ejecuta código. Retirado de PHP hace años y típico de shells viejos.</t>
  </si>
  <si>
    <t>URLVoid</t>
  </si>
  <si>
    <t>Agregador de listas negras de reputación.</t>
  </si>
  <si>
    <t>assert\s*\(\s*\$</t>
  </si>
  <si>
    <t>assert con variable, otra forma de ejecutar código dinámico.</t>
  </si>
  <si>
    <t>create_function\s*\(</t>
  </si>
  <si>
    <t>Función eliminada de PHP 8. En una web actual, o es código muy viejo o es malware.</t>
  </si>
  <si>
    <t>\$_(POST|GET|REQUEST|COOKIE)\s*\[[^\]]*\]\s*\)?\s*\(</t>
  </si>
  <si>
    <t>Ejecuta directamente lo que llega por la petición. Puerta trasera de manual.</t>
  </si>
  <si>
    <t>(shell_exec|passthru|popen|proc_open)\s*\(</t>
  </si>
  <si>
    <t>Ejecución de comandos del sistema. En un plugin normal no pinta nada.</t>
  </si>
  <si>
    <t>\b(system|exec)\s*\(\s*\$</t>
  </si>
  <si>
    <t>Comando del sistema construido con una variable.</t>
  </si>
  <si>
    <t>(FilesMan|WSO |b374k|IndoXploit|Mini Shell|c99shell|r57shell)</t>
  </si>
  <si>
    <t>Nombres de shells web conocidos.</t>
  </si>
  <si>
    <t>\\x[0-9a-fA-F]{2}(\\x[0-9a-fA-F]{2}){20,}</t>
  </si>
  <si>
    <t>Cadena hexadecimal larga, forma habitual de esconder texto.</t>
  </si>
  <si>
    <t>['\"][A-Za-z0-9+/]{300,}={0,2}['\"]</t>
  </si>
  <si>
    <t>Base64 muy largo dentro del código. A veces es una imagen; a veces es la carga útil.</t>
  </si>
  <si>
    <t>goto\s+[A-Za-z0-9_]{5,};</t>
  </si>
  <si>
    <t>goto con etiquetas aleatorias: ofuscador automático.</t>
  </si>
  <si>
    <t>file_get_contents\s*\(\s*['\"]https?://</t>
  </si>
  <si>
    <t>Descarga desde una URL. Legítimo muchas veces, sospechoso en ficheros del núcleo.</t>
  </si>
  <si>
    <t>curl_exec\s*\(</t>
  </si>
  <si>
    <t>Petición saliente. Solo interesa si aparece donde no debería.</t>
  </si>
  <si>
    <t>Spamhaus</t>
  </si>
  <si>
    <t>(wp_set_auth_cookie|wp_set_current_user)\s*\(\s*1\s*\)</t>
  </si>
  <si>
    <t>Listas negras de correo. Imprescindible si tu dominio ha estado enviando spam.</t>
  </si>
  <si>
    <t>Entrar como administrador sin contraseña.</t>
  </si>
  <si>
    <t>wp_(insert|create)_user\s*\(</t>
  </si>
  <si>
    <t>Creación de usuarios desde código. En un fichero suelto, es puerta trasera.</t>
  </si>
  <si>
    <t>\beval\s*\(</t>
  </si>
  <si>
    <t>eval a secas. Merece una mirada siempre.</t>
  </si>
  <si>
    <t>move_uploaded_file\s*\(</t>
  </si>
  <si>
    <t>Subida de ficheros. En un fichero fuera de sitio, es un subidor del atacante.</t>
  </si>
  <si>
    <t>&lt;iframe[^&gt;]*(display\s*:\s*none|width\s*=\s*['\"]?[01]['\"]?)</t>
  </si>
  <si>
    <t>Iframe invisible, clásico para distribuir malware.</t>
  </si>
  <si>
    <t>Cortar primero el envío de spam. Si se pide la salida con el servidor todavía enviando, se vuelve a entrar al día siguiente y la segunda vez cuesta más.</t>
  </si>
  <si>
    <t>Fuente autoritativa del aviso de Google y única vía oficial para pedir la revisión.</t>
  </si>
  <si>
    <t>MxToolbox, listas negras</t>
  </si>
  <si>
    <t>Barrido de listas negras de correo de una vez.</t>
  </si>
  <si>
    <t>Problemas de seguridad, revisar el detalle, arreglar todo, y solicitar revisión. La respuesta suele tardar de horas a días. Anotar la fecha de solicitud.</t>
  </si>
  <si>
    <t>Equivalente de Bing, que alimenta a otros buscadores y a algunos antivirus.</t>
  </si>
  <si>
    <t>Google: páginas indexadas</t>
  </si>
  <si>
    <t>Cuántas páginas tiene indexadas y si hay basura entre ellas.</t>
  </si>
  <si>
    <t>Sección de seguridad de la propiedad, solicitud de revisión.</t>
  </si>
  <si>
    <t>Escáner público de referencia. Guarda la captura del antes y la del después.</t>
  </si>
  <si>
    <t>En la hoja 4</t>
  </si>
  <si>
    <t>Se actualiza volviendo a escanear. Si sigue marcando algo tras la limpieza, es que queda algo: mirarlo antes de discutir con nadie.</t>
  </si>
  <si>
    <t>Google: spam indexado</t>
  </si>
  <si>
    <t>Delata el spam SEO en un vistazo. Si esto devuelve resultados, hay contenido inyectado indexado.</t>
  </si>
  <si>
    <t>Veredicto agregado de decenas de motores. Guarda la captura de cómo estaba y de cómo queda.</t>
  </si>
  <si>
    <t>SSL Labs</t>
  </si>
  <si>
    <t>Certificado y cadena de confianza. Se mira al final, cuando toca dejarlo todo mejor de como estaba.</t>
  </si>
  <si>
    <t>Cada motor que marque tiene su propio proceso. Empezar por los que aparezcan en rojo en la ficha del dominio.</t>
  </si>
  <si>
    <t>Reputación que arrastran muchos antivirus de escritorio.</t>
  </si>
  <si>
    <t>Solicitud de revisión desde la ficha del sitio, con la web ya limpia.</t>
  </si>
  <si>
    <t>Hosting</t>
  </si>
  <si>
    <t>Si suspendió o limitó la cuenta, hay que pedir la reactivación con el detalle de lo hecho.</t>
  </si>
  <si>
    <t>Tu panel o tus tickets</t>
  </si>
  <si>
    <t>Abre un ticket con el resumen de la limpieza: qué encontraste, qué eliminaste y qué medidas has dejado puestas.</t>
  </si>
  <si>
    <t>Si avisó la pasarela o el banco, hay que responder por escrito.</t>
  </si>
  <si>
    <t>El correo de tu pasarela</t>
  </si>
  <si>
    <t>Responde por escrito con lo corregido y las medidas puestas. Si hubo datos de pago afectados, esto va de la mano de lo de la brecha.</t>
  </si>
  <si>
    <t>Security Headers</t>
  </si>
  <si>
    <t>Cabeceras de seguridad tras el endurecimiento.</t>
  </si>
  <si>
    <t>Para que no vuelva a pasar</t>
  </si>
  <si>
    <t>crt.sh</t>
  </si>
  <si>
    <t>Subdominios con certificado emitido, incluidos los que no debería haber.</t>
  </si>
  <si>
    <t>Una limpieza es una foto fija. Lo que sostiene una web en pie es lo de abajo, y casi todo se hace una vez.</t>
  </si>
  <si>
    <t>Medida</t>
  </si>
  <si>
    <t>Doble factor para todos los administradores</t>
  </si>
  <si>
    <t>Es la medida que más ataques evita por lo poco que cuesta. Con la contraseña sola no basta, porque las contraseñas se filtran en sitios que no controlas.</t>
  </si>
  <si>
    <t>Revisar quién tiene acceso y con qué rol</t>
  </si>
  <si>
    <t>Casi todas las webs arrastran usuarios de gente que ya no trabaja allí. Cada uno es una puerta más.</t>
  </si>
  <si>
    <t>Archive.org</t>
  </si>
  <si>
    <t>Cómo era tu web antes de todo esto. Sirve para fechar el ataque y para recuperar contenido que se haya perdido.</t>
  </si>
  <si>
    <t>Contraseñas únicas y un gestor de contraseñas</t>
  </si>
  <si>
    <t>Reutilizar la contraseña del correo en la web significa que una filtración ajena se convierte en un problema propio.</t>
  </si>
  <si>
    <t>Actualizaciones al día, con copia previa</t>
  </si>
  <si>
    <t>La mayoría de los ataques entran por agujeros ya parcheados. No es que sean listos, es que la web iba atrasada.</t>
  </si>
  <si>
    <t>Copias 3-2-1 y probar la restauración</t>
  </si>
  <si>
    <t>Una copia que nunca se ha restaurado no sirve. Es el punto donde falla casi todo el mundo.</t>
  </si>
  <si>
    <t>Nada de plugins ni temas nulled</t>
  </si>
  <si>
    <t>El que los publica gratis no lo hace por amor al arte: los distribuye con la puerta trasera dentro. Es la vía de entrada más común que hay.</t>
  </si>
  <si>
    <t>Equipos limpios de quien administra la web</t>
  </si>
  <si>
    <t>Si hay un troyano en el portátil que roba contraseñas, la web se vuelve a infectar por muy bien que se limpie.</t>
  </si>
  <si>
    <t>Hosting con aislamiento entre sitios</t>
  </si>
  <si>
    <t>En muchos compartidos, una web infectada contamina a las demás de la misma cuenta.</t>
  </si>
  <si>
    <t>Cortafuegos o Cloudflare por delante</t>
  </si>
  <si>
    <t>Filtra buena parte del ruido antes de que llegue a WordPress y frena los ataques de fuerza bruta.</t>
  </si>
  <si>
    <t>Vigilancia continua de ficheros y vulnerabilidades</t>
  </si>
  <si>
    <t>Lo que se detecta en horas se arregla en horas. Lo que se detecta cuando Google te marca en rojo, cuesta semanas de reputación.</t>
  </si>
</sst>
</file>

<file path=xl/styles.xml><?xml version="1.0" encoding="utf-8"?>
<styleSheet xmlns="http://schemas.openxmlformats.org/spreadsheetml/2006/main" xmlns:x14ac="http://schemas.microsoft.com/office/spreadsheetml/2009/9/ac" xmlns:mc="http://schemas.openxmlformats.org/markup-compatibility/2006">
  <numFmts count="1">
    <numFmt numFmtId="164" formatCode="dd/mm/yyyy"/>
  </numFmts>
  <fonts count="19">
    <font>
      <sz val="11.0"/>
      <color theme="1"/>
      <name val="Calibri"/>
      <scheme val="minor"/>
    </font>
    <font>
      <b/>
      <sz val="14.0"/>
      <color rgb="FF1F3A5F"/>
      <name val="Arial"/>
    </font>
    <font>
      <b/>
      <sz val="18.0"/>
      <color rgb="FF1F3A5F"/>
      <name val="Arial"/>
    </font>
    <font>
      <sz val="10.0"/>
      <color rgb="FF666666"/>
      <name val="Arial"/>
    </font>
    <font>
      <sz val="10.0"/>
      <color rgb="FF000000"/>
      <name val="Arial"/>
    </font>
    <font>
      <b/>
      <sz val="10.0"/>
      <color rgb="FFFFFFFF"/>
      <name val="Arial"/>
    </font>
    <font>
      <b/>
      <sz val="10.0"/>
      <color rgb="FF000000"/>
      <name val="Arial"/>
    </font>
    <font>
      <b/>
      <sz val="10.0"/>
      <color theme="1"/>
      <name val="Arial"/>
    </font>
    <font>
      <b/>
      <sz val="11.0"/>
      <color theme="1"/>
      <name val="Arial"/>
    </font>
    <font>
      <sz val="10.0"/>
      <color theme="1"/>
      <name val="Arial"/>
    </font>
    <font>
      <sz val="9.0"/>
      <color rgb="FF666666"/>
      <name val="Arial"/>
    </font>
    <font>
      <b/>
      <sz val="12.0"/>
      <color rgb="FF1F3A5F"/>
      <name val="Arial"/>
    </font>
    <font>
      <b/>
      <sz val="9.0"/>
      <color rgb="FFFFFFFF"/>
      <name val="Arial"/>
    </font>
    <font>
      <i/>
      <sz val="9.0"/>
      <color rgb="FF444444"/>
      <name val="Arial"/>
    </font>
    <font>
      <u/>
      <sz val="10.0"/>
      <color rgb="FF0563C1"/>
      <name val="Arial"/>
    </font>
    <font>
      <sz val="9.0"/>
      <color theme="1"/>
      <name val="Arial"/>
    </font>
    <font>
      <sz val="8.0"/>
      <color rgb="FF999999"/>
      <name val="Arial"/>
    </font>
    <font>
      <sz val="9.0"/>
      <color rgb="FF444444"/>
      <name val="Arial"/>
    </font>
    <font>
      <sz val="9.0"/>
      <color theme="1"/>
      <name val="Courier New"/>
    </font>
  </fonts>
  <fills count="8">
    <fill>
      <patternFill patternType="none"/>
    </fill>
    <fill>
      <patternFill patternType="lightGray"/>
    </fill>
    <fill>
      <patternFill patternType="solid">
        <fgColor rgb="FF1F3A5F"/>
        <bgColor rgb="FF1F3A5F"/>
      </patternFill>
    </fill>
    <fill>
      <patternFill patternType="solid">
        <fgColor rgb="FFFFF2CC"/>
        <bgColor rgb="FFFFF2CC"/>
      </patternFill>
    </fill>
    <fill>
      <patternFill patternType="solid">
        <fgColor rgb="FFF2F2F2"/>
        <bgColor rgb="FFF2F2F2"/>
      </patternFill>
    </fill>
    <fill>
      <patternFill patternType="solid">
        <fgColor rgb="FFFFF3CD"/>
        <bgColor rgb="FFFFF3CD"/>
      </patternFill>
    </fill>
    <fill>
      <patternFill patternType="solid">
        <fgColor rgb="FFF8D7DA"/>
        <bgColor rgb="FFF8D7DA"/>
      </patternFill>
    </fill>
    <fill>
      <patternFill patternType="solid">
        <fgColor rgb="FFDCE6F1"/>
        <bgColor rgb="FFDCE6F1"/>
      </patternFill>
    </fill>
  </fills>
  <borders count="6">
    <border/>
    <border>
      <left/>
      <right/>
      <top/>
      <bottom style="thin">
        <color rgb="FF1F3A5F"/>
      </bottom>
    </border>
    <border>
      <bottom style="hair">
        <color rgb="FFBFBFBF"/>
      </bottom>
    </border>
    <border>
      <left style="thin">
        <color rgb="FFBFBFBF"/>
      </left>
      <right style="thin">
        <color rgb="FFBFBFBF"/>
      </right>
      <top style="thin">
        <color rgb="FFBFBFBF"/>
      </top>
      <bottom style="thin">
        <color rgb="FFBFBFBF"/>
      </bottom>
    </border>
    <border>
      <left/>
      <right/>
      <top/>
      <bottom/>
    </border>
    <border>
      <left/>
      <right/>
      <top/>
      <bottom style="hair">
        <color rgb="FFBFBFBF"/>
      </bottom>
    </border>
  </borders>
  <cellStyleXfs count="1">
    <xf borderId="0" fillId="0" fontId="0" numFmtId="0" applyAlignment="1" applyFont="1"/>
  </cellStyleXfs>
  <cellXfs count="32">
    <xf borderId="0" fillId="0" fontId="0" numFmtId="0" xfId="0" applyAlignment="1" applyFont="1">
      <alignment readingOrder="0" shrinkToFit="0" vertical="bottom" wrapText="0"/>
    </xf>
    <xf borderId="0" fillId="0" fontId="1" numFmtId="0" xfId="0" applyAlignment="1" applyFont="1">
      <alignment shrinkToFit="0" vertical="bottom" wrapText="0"/>
    </xf>
    <xf borderId="0" fillId="0" fontId="2" numFmtId="0" xfId="0" applyAlignment="1" applyFont="1">
      <alignment shrinkToFit="0" vertical="top" wrapText="1"/>
    </xf>
    <xf borderId="0" fillId="0" fontId="3" numFmtId="0" xfId="0" applyAlignment="1" applyFont="1">
      <alignment shrinkToFit="0" vertical="bottom" wrapText="0"/>
    </xf>
    <xf borderId="0" fillId="0" fontId="4" numFmtId="0" xfId="0" applyAlignment="1" applyFont="1">
      <alignment shrinkToFit="0" vertical="top" wrapText="1"/>
    </xf>
    <xf borderId="1" fillId="2" fontId="5" numFmtId="0" xfId="0" applyAlignment="1" applyBorder="1" applyFill="1" applyFont="1">
      <alignment shrinkToFit="0" vertical="center" wrapText="1"/>
    </xf>
    <xf borderId="0" fillId="0" fontId="6" numFmtId="0" xfId="0" applyAlignment="1" applyFont="1">
      <alignment shrinkToFit="0" vertical="top" wrapText="1"/>
    </xf>
    <xf borderId="2" fillId="0" fontId="7" numFmtId="0" xfId="0" applyAlignment="1" applyBorder="1" applyFont="1">
      <alignment shrinkToFit="0" vertical="top" wrapText="0"/>
    </xf>
    <xf borderId="3" fillId="3" fontId="8" numFmtId="0" xfId="0" applyAlignment="1" applyBorder="1" applyFill="1" applyFont="1">
      <alignment horizontal="center" readingOrder="0" shrinkToFit="0" vertical="center" wrapText="0"/>
    </xf>
    <xf borderId="2" fillId="0" fontId="9" numFmtId="0" xfId="0" applyAlignment="1" applyBorder="1" applyFont="1">
      <alignment shrinkToFit="0" vertical="top" wrapText="1"/>
    </xf>
    <xf borderId="2" fillId="0" fontId="9" numFmtId="0" xfId="0" applyAlignment="1" applyBorder="1" applyFont="1">
      <alignment shrinkToFit="0" vertical="top" wrapText="0"/>
    </xf>
    <xf borderId="0" fillId="0" fontId="10" numFmtId="0" xfId="0" applyAlignment="1" applyFont="1">
      <alignment shrinkToFit="0" vertical="top" wrapText="1"/>
    </xf>
    <xf borderId="0" fillId="0" fontId="11" numFmtId="0" xfId="0" applyAlignment="1" applyFont="1">
      <alignment shrinkToFit="0" vertical="top" wrapText="1"/>
    </xf>
    <xf borderId="2" fillId="0" fontId="9" numFmtId="164" xfId="0" applyAlignment="1" applyBorder="1" applyFont="1" applyNumberFormat="1">
      <alignment shrinkToFit="0" vertical="top" wrapText="0"/>
    </xf>
    <xf borderId="4" fillId="2" fontId="12" numFmtId="0" xfId="0" applyAlignment="1" applyBorder="1" applyFill="1" applyFont="1">
      <alignment shrinkToFit="0" vertical="bottom" wrapText="0"/>
    </xf>
    <xf borderId="4" fillId="4" fontId="13" numFmtId="0" xfId="0" applyAlignment="1" applyBorder="1" applyFill="1" applyFont="1">
      <alignment shrinkToFit="0" vertical="center" wrapText="1"/>
    </xf>
    <xf borderId="4" fillId="2" fontId="5" numFmtId="0" xfId="0" applyAlignment="1" applyBorder="1" applyFill="1" applyFont="1">
      <alignment horizontal="center" shrinkToFit="0" vertical="center" wrapText="1"/>
    </xf>
    <xf borderId="2" fillId="0" fontId="9" numFmtId="0" xfId="0" applyAlignment="1" applyBorder="1" applyFont="1">
      <alignment shrinkToFit="0" vertical="bottom" wrapText="0"/>
    </xf>
    <xf borderId="5" fillId="5" fontId="9" numFmtId="0" xfId="0" applyAlignment="1" applyBorder="1" applyFill="1" applyFont="1">
      <alignment shrinkToFit="0" vertical="top" wrapText="0"/>
    </xf>
    <xf borderId="2" fillId="0" fontId="9" numFmtId="0" xfId="0" applyAlignment="1" applyBorder="1" applyFont="1">
      <alignment horizontal="center" shrinkToFit="0" vertical="bottom" wrapText="0"/>
    </xf>
    <xf borderId="2" fillId="0" fontId="9" numFmtId="9" xfId="0" applyAlignment="1" applyBorder="1" applyFont="1" applyNumberFormat="1">
      <alignment horizontal="center" shrinkToFit="0" vertical="bottom" wrapText="0"/>
    </xf>
    <xf borderId="5" fillId="6" fontId="9" numFmtId="0" xfId="0" applyAlignment="1" applyBorder="1" applyFill="1" applyFont="1">
      <alignment shrinkToFit="0" vertical="top" wrapText="0"/>
    </xf>
    <xf borderId="2" fillId="0" fontId="14" numFmtId="0" xfId="0" applyAlignment="1" applyBorder="1" applyFont="1">
      <alignment shrinkToFit="0" vertical="top" wrapText="0"/>
    </xf>
    <xf borderId="4" fillId="7" fontId="7" numFmtId="0" xfId="0" applyAlignment="1" applyBorder="1" applyFill="1" applyFont="1">
      <alignment shrinkToFit="0" vertical="bottom" wrapText="0"/>
    </xf>
    <xf borderId="4" fillId="7" fontId="7" numFmtId="0" xfId="0" applyAlignment="1" applyBorder="1" applyFill="1" applyFont="1">
      <alignment horizontal="center" shrinkToFit="0" vertical="bottom" wrapText="0"/>
    </xf>
    <xf borderId="4" fillId="7" fontId="7" numFmtId="9" xfId="0" applyAlignment="1" applyBorder="1" applyFill="1" applyFont="1" applyNumberFormat="1">
      <alignment horizontal="center" shrinkToFit="0" vertical="bottom" wrapText="0"/>
    </xf>
    <xf borderId="0" fillId="0" fontId="15" numFmtId="0" xfId="0" applyAlignment="1" applyFont="1">
      <alignment shrinkToFit="0" vertical="bottom" wrapText="0"/>
    </xf>
    <xf borderId="0" fillId="0" fontId="16" numFmtId="0" xfId="0" applyAlignment="1" applyFont="1">
      <alignment shrinkToFit="0" vertical="top" wrapText="1"/>
    </xf>
    <xf borderId="0" fillId="0" fontId="3" numFmtId="0" xfId="0" applyAlignment="1" applyFont="1">
      <alignment shrinkToFit="0" vertical="top" wrapText="1"/>
    </xf>
    <xf borderId="0" fillId="0" fontId="17" numFmtId="0" xfId="0" applyAlignment="1" applyFont="1">
      <alignment shrinkToFit="0" vertical="top" wrapText="1"/>
    </xf>
    <xf borderId="2" fillId="0" fontId="18" numFmtId="0" xfId="0" applyAlignment="1" applyBorder="1" applyFont="1">
      <alignment shrinkToFit="0" vertical="top" wrapText="1"/>
    </xf>
    <xf borderId="2" fillId="0" fontId="10" numFmtId="0" xfId="0" applyAlignment="1" applyBorder="1" applyFont="1">
      <alignment shrinkToFit="0" vertical="top" wrapText="1"/>
    </xf>
  </cellXfs>
  <cellStyles count="1">
    <cellStyle xfId="0" name="Normal" builtinId="0"/>
  </cellStyles>
  <dxfs count="4">
    <dxf>
      <font/>
      <fill>
        <patternFill patternType="solid">
          <fgColor rgb="FFD9EAD3"/>
          <bgColor rgb="FFD9EAD3"/>
        </patternFill>
      </fill>
      <border/>
    </dxf>
    <dxf>
      <font/>
      <fill>
        <patternFill patternType="solid">
          <fgColor rgb="FFFFF3CD"/>
          <bgColor rgb="FFFFF3CD"/>
        </patternFill>
      </fill>
      <border/>
    </dxf>
    <dxf>
      <font/>
      <fill>
        <patternFill patternType="solid">
          <fgColor rgb="FFF2F2F2"/>
          <bgColor rgb="FFF2F2F2"/>
        </patternFill>
      </fill>
      <border/>
    </dxf>
    <dxf>
      <font/>
      <fill>
        <patternFill patternType="solid">
          <fgColor rgb="FFF8D7DA"/>
          <bgColor rgb="FFF8D7DA"/>
        </patternFill>
      </fill>
      <border/>
    </dxf>
  </dxfs>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11" Type="http://schemas.openxmlformats.org/officeDocument/2006/relationships/worksheet" Target="worksheets/sheet8.xml"/><Relationship Id="rId10" Type="http://schemas.openxmlformats.org/officeDocument/2006/relationships/worksheet" Target="worksheets/sheet7.xml"/><Relationship Id="rId12" Type="http://customschemas.google.com/relationships/workbookmetadata" Target="metadata"/><Relationship Id="rId9" Type="http://schemas.openxmlformats.org/officeDocument/2006/relationships/worksheet" Target="worksheets/sheet6.xml"/><Relationship Id="rId5" Type="http://schemas.openxmlformats.org/officeDocument/2006/relationships/worksheet" Target="worksheets/sheet2.xml"/><Relationship Id="rId6" Type="http://schemas.openxmlformats.org/officeDocument/2006/relationships/worksheet" Target="worksheets/sheet3.xml"/><Relationship Id="rId7" Type="http://schemas.openxmlformats.org/officeDocument/2006/relationships/worksheet" Target="worksheets/sheet4.xml"/><Relationship Id="rId8" Type="http://schemas.openxmlformats.org/officeDocument/2006/relationships/worksheet" Target="worksheets/sheet5.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8.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6.xml"/></Relationships>
</file>

<file path=xl/worksheets/_rels/sheet7.xml.rels><?xml version="1.0" encoding="UTF-8" standalone="yes"?><Relationships xmlns="http://schemas.openxmlformats.org/package/2006/relationships"><Relationship Id="rId1" Type="http://schemas.openxmlformats.org/officeDocument/2006/relationships/drawing" Target="../drawings/drawing7.xml"/></Relationships>
</file>

<file path=xl/worksheets/_rels/sheet8.xml.rels><?xml version="1.0" encoding="UTF-8" standalone="yes"?><Relationships xmlns="http://schemas.openxmlformats.org/package/2006/relationships"><Relationship Id="rId1" Type="http://schemas.openxmlformats.org/officeDocument/2006/relationships/drawing" Target="../drawings/drawing8.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fitToPage="1"/>
  </sheetPr>
  <sheetViews>
    <sheetView showGridLines="0" workbookViewId="0"/>
  </sheetViews>
  <sheetFormatPr customHeight="1" defaultColWidth="14.43" defaultRowHeight="15.0"/>
  <cols>
    <col customWidth="1" min="1" max="1" width="3.0"/>
    <col customWidth="1" min="2" max="2" width="30.0"/>
    <col customWidth="1" min="3" max="3" width="34.0"/>
    <col customWidth="1" min="4" max="6" width="16.0"/>
    <col customWidth="1" min="7" max="7" width="14.0"/>
    <col customWidth="1" min="8" max="26" width="8.71"/>
  </cols>
  <sheetData>
    <row r="2" ht="25.5" customHeight="1">
      <c r="B2" s="2" t="s">
        <v>1</v>
      </c>
    </row>
    <row r="3" ht="15.0" customHeight="1">
      <c r="B3" s="4" t="s">
        <v>4</v>
      </c>
    </row>
    <row r="6" ht="21.75" customHeight="1">
      <c r="B6" s="6" t="s">
        <v>7</v>
      </c>
      <c r="C6" s="8" t="s">
        <v>15</v>
      </c>
      <c r="D6" s="11" t="s">
        <v>26</v>
      </c>
    </row>
    <row r="9" ht="15.0" customHeight="1">
      <c r="B9" s="12" t="s">
        <v>33</v>
      </c>
    </row>
    <row r="10" ht="30.0" customHeight="1">
      <c r="B10" s="6" t="s">
        <v>41</v>
      </c>
      <c r="C10" s="4" t="s">
        <v>43</v>
      </c>
    </row>
    <row r="11" ht="30.0" customHeight="1">
      <c r="B11" s="6" t="s">
        <v>47</v>
      </c>
      <c r="C11" s="4" t="s">
        <v>48</v>
      </c>
    </row>
    <row r="12" ht="30.0" customHeight="1">
      <c r="B12" s="6" t="s">
        <v>51</v>
      </c>
      <c r="C12" s="4" t="s">
        <v>53</v>
      </c>
    </row>
    <row r="13" ht="30.0" customHeight="1">
      <c r="B13" s="6" t="s">
        <v>57</v>
      </c>
      <c r="C13" s="4" t="s">
        <v>60</v>
      </c>
    </row>
    <row r="15" ht="15.0" customHeight="1">
      <c r="B15" s="12" t="s">
        <v>62</v>
      </c>
    </row>
    <row r="16" ht="15.0" customHeight="1">
      <c r="B16" s="6" t="s">
        <v>20</v>
      </c>
      <c r="C16" s="4" t="s">
        <v>65</v>
      </c>
    </row>
    <row r="17" ht="15.0" customHeight="1">
      <c r="B17" s="6" t="s">
        <v>18</v>
      </c>
      <c r="C17" s="4" t="s">
        <v>67</v>
      </c>
    </row>
    <row r="18" ht="23.25" customHeight="1">
      <c r="B18" s="6" t="s">
        <v>17</v>
      </c>
      <c r="C18" s="4" t="s">
        <v>72</v>
      </c>
    </row>
    <row r="20" ht="15.0" customHeight="1">
      <c r="B20" s="11" t="s">
        <v>76</v>
      </c>
    </row>
    <row r="21" ht="15.75" customHeight="1">
      <c r="B21" s="14" t="s">
        <v>13</v>
      </c>
      <c r="C21" s="14" t="s">
        <v>20</v>
      </c>
      <c r="D21" s="14" t="s">
        <v>21</v>
      </c>
      <c r="E21" s="14" t="s">
        <v>22</v>
      </c>
    </row>
    <row r="22" ht="25.5" customHeight="1">
      <c r="B22" s="15" t="s">
        <v>99</v>
      </c>
      <c r="C22" s="15" t="s">
        <v>105</v>
      </c>
      <c r="D22" s="15" t="s">
        <v>106</v>
      </c>
      <c r="E22" s="15" t="s">
        <v>108</v>
      </c>
    </row>
    <row r="23" ht="15.75" customHeight="1"/>
    <row r="24" ht="15.75" customHeight="1"/>
    <row r="25" ht="15.0" customHeight="1">
      <c r="B25" s="12" t="s">
        <v>110</v>
      </c>
    </row>
    <row r="26" ht="27.75" customHeight="1">
      <c r="B26" s="16" t="s">
        <v>8</v>
      </c>
      <c r="C26" s="16" t="s">
        <v>120</v>
      </c>
      <c r="D26" s="16" t="s">
        <v>124</v>
      </c>
      <c r="E26" s="16" t="s">
        <v>127</v>
      </c>
      <c r="F26" s="16" t="s">
        <v>130</v>
      </c>
      <c r="G26" s="16" t="s">
        <v>132</v>
      </c>
    </row>
    <row r="27" ht="15.75" customHeight="1">
      <c r="B27" s="17" t="s">
        <v>24</v>
      </c>
      <c r="C27" s="19">
        <f>COUNTIF('2 Checklist'!$A:$A,$B27)</f>
        <v>4</v>
      </c>
      <c r="D27" s="19">
        <f>COUNTIFS('2 Checklist'!$A:$A,$B27,'2 Checklist'!$G:$G,"Hecho")</f>
        <v>0</v>
      </c>
      <c r="E27" s="19">
        <f>COUNTIFS('2 Checklist'!$A:$A,$B27,'2 Checklist'!$G:$G,"No aplica")</f>
        <v>0</v>
      </c>
      <c r="F27" s="19">
        <f t="shared" ref="F27:F34" si="1">$C27-$D27-$E27</f>
        <v>4</v>
      </c>
      <c r="G27" s="20">
        <f t="shared" ref="G27:G35" si="2">IF($C27-$E27=0,1,$D27/($C27-$E27))</f>
        <v>0</v>
      </c>
    </row>
    <row r="28" ht="15.75" customHeight="1">
      <c r="B28" s="17" t="s">
        <v>121</v>
      </c>
      <c r="C28" s="19">
        <f>COUNTIF('2 Checklist'!$A:$A,$B28)</f>
        <v>11</v>
      </c>
      <c r="D28" s="19">
        <f>COUNTIFS('2 Checklist'!$A:$A,$B28,'2 Checklist'!$G:$G,"Hecho")</f>
        <v>0</v>
      </c>
      <c r="E28" s="19">
        <f>COUNTIFS('2 Checklist'!$A:$A,$B28,'2 Checklist'!$G:$G,"No aplica")</f>
        <v>0</v>
      </c>
      <c r="F28" s="19">
        <f t="shared" si="1"/>
        <v>11</v>
      </c>
      <c r="G28" s="20">
        <f t="shared" si="2"/>
        <v>0</v>
      </c>
    </row>
    <row r="29" ht="15.75" customHeight="1">
      <c r="B29" s="17" t="s">
        <v>195</v>
      </c>
      <c r="C29" s="19">
        <f>COUNTIF('2 Checklist'!$A:$A,$B29)</f>
        <v>7</v>
      </c>
      <c r="D29" s="19">
        <f>COUNTIFS('2 Checklist'!$A:$A,$B29,'2 Checklist'!$G:$G,"Hecho")</f>
        <v>0</v>
      </c>
      <c r="E29" s="19">
        <f>COUNTIFS('2 Checklist'!$A:$A,$B29,'2 Checklist'!$G:$G,"No aplica")</f>
        <v>0</v>
      </c>
      <c r="F29" s="19">
        <f t="shared" si="1"/>
        <v>7</v>
      </c>
      <c r="G29" s="20">
        <f t="shared" si="2"/>
        <v>0</v>
      </c>
    </row>
    <row r="30" ht="15.75" customHeight="1">
      <c r="B30" s="17" t="s">
        <v>233</v>
      </c>
      <c r="C30" s="19">
        <f>COUNTIF('2 Checklist'!$A:$A,$B30)</f>
        <v>10</v>
      </c>
      <c r="D30" s="19">
        <f>COUNTIFS('2 Checklist'!$A:$A,$B30,'2 Checklist'!$G:$G,"Hecho")</f>
        <v>0</v>
      </c>
      <c r="E30" s="19">
        <f>COUNTIFS('2 Checklist'!$A:$A,$B30,'2 Checklist'!$G:$G,"No aplica")</f>
        <v>0</v>
      </c>
      <c r="F30" s="19">
        <f t="shared" si="1"/>
        <v>10</v>
      </c>
      <c r="G30" s="20">
        <f t="shared" si="2"/>
        <v>0</v>
      </c>
    </row>
    <row r="31" ht="15.75" customHeight="1">
      <c r="B31" s="17" t="s">
        <v>264</v>
      </c>
      <c r="C31" s="19">
        <f>COUNTIF('2 Checklist'!$A:$A,$B31)</f>
        <v>10</v>
      </c>
      <c r="D31" s="19">
        <f>COUNTIFS('2 Checklist'!$A:$A,$B31,'2 Checklist'!$G:$G,"Hecho")</f>
        <v>0</v>
      </c>
      <c r="E31" s="19">
        <f>COUNTIFS('2 Checklist'!$A:$A,$B31,'2 Checklist'!$G:$G,"No aplica")</f>
        <v>0</v>
      </c>
      <c r="F31" s="19">
        <f t="shared" si="1"/>
        <v>10</v>
      </c>
      <c r="G31" s="20">
        <f t="shared" si="2"/>
        <v>0</v>
      </c>
    </row>
    <row r="32" ht="15.75" customHeight="1">
      <c r="B32" s="17" t="s">
        <v>286</v>
      </c>
      <c r="C32" s="19">
        <f>COUNTIF('2 Checklist'!$A:$A,$B32)</f>
        <v>13</v>
      </c>
      <c r="D32" s="19">
        <f>COUNTIFS('2 Checklist'!$A:$A,$B32,'2 Checklist'!$G:$G,"Hecho")</f>
        <v>0</v>
      </c>
      <c r="E32" s="19">
        <f>COUNTIFS('2 Checklist'!$A:$A,$B32,'2 Checklist'!$G:$G,"No aplica")</f>
        <v>0</v>
      </c>
      <c r="F32" s="19">
        <f t="shared" si="1"/>
        <v>13</v>
      </c>
      <c r="G32" s="20">
        <f t="shared" si="2"/>
        <v>0</v>
      </c>
    </row>
    <row r="33" ht="15.75" customHeight="1">
      <c r="B33" s="17" t="s">
        <v>302</v>
      </c>
      <c r="C33" s="19">
        <f>COUNTIF('2 Checklist'!$A:$A,$B33)</f>
        <v>6</v>
      </c>
      <c r="D33" s="19">
        <f>COUNTIFS('2 Checklist'!$A:$A,$B33,'2 Checklist'!$G:$G,"Hecho")</f>
        <v>0</v>
      </c>
      <c r="E33" s="19">
        <f>COUNTIFS('2 Checklist'!$A:$A,$B33,'2 Checklist'!$G:$G,"No aplica")</f>
        <v>0</v>
      </c>
      <c r="F33" s="19">
        <f t="shared" si="1"/>
        <v>6</v>
      </c>
      <c r="G33" s="20">
        <f t="shared" si="2"/>
        <v>0</v>
      </c>
    </row>
    <row r="34" ht="15.75" customHeight="1">
      <c r="B34" s="17" t="s">
        <v>308</v>
      </c>
      <c r="C34" s="19">
        <f>COUNTIF('2 Checklist'!$A:$A,$B34)</f>
        <v>16</v>
      </c>
      <c r="D34" s="19">
        <f>COUNTIFS('2 Checklist'!$A:$A,$B34,'2 Checklist'!$G:$G,"Hecho")</f>
        <v>0</v>
      </c>
      <c r="E34" s="19">
        <f>COUNTIFS('2 Checklist'!$A:$A,$B34,'2 Checklist'!$G:$G,"No aplica")</f>
        <v>0</v>
      </c>
      <c r="F34" s="19">
        <f t="shared" si="1"/>
        <v>16</v>
      </c>
      <c r="G34" s="20">
        <f t="shared" si="2"/>
        <v>0</v>
      </c>
    </row>
    <row r="35" ht="15.75" customHeight="1">
      <c r="B35" s="23" t="s">
        <v>311</v>
      </c>
      <c r="C35" s="24">
        <f t="shared" ref="C35:F35" si="3">SUM(C27:C34)</f>
        <v>77</v>
      </c>
      <c r="D35" s="24">
        <f t="shared" si="3"/>
        <v>0</v>
      </c>
      <c r="E35" s="24">
        <f t="shared" si="3"/>
        <v>0</v>
      </c>
      <c r="F35" s="24">
        <f t="shared" si="3"/>
        <v>77</v>
      </c>
      <c r="G35" s="25">
        <f t="shared" si="2"/>
        <v>0</v>
      </c>
    </row>
    <row r="36" ht="15.75" customHeight="1"/>
    <row r="37" ht="15.75" customHeight="1"/>
    <row r="38" ht="15.0" customHeight="1">
      <c r="B38" s="12" t="s">
        <v>331</v>
      </c>
    </row>
    <row r="39" ht="25.5" customHeight="1">
      <c r="B39" s="11" t="s">
        <v>334</v>
      </c>
    </row>
    <row r="40" ht="15.75" customHeight="1"/>
    <row r="41" ht="15.75" customHeight="1">
      <c r="B41" s="26" t="s">
        <v>337</v>
      </c>
      <c r="C41" s="22" t="str">
        <f>HYPERLINK("https://ayudawp.com","https://ayudawp.com")</f>
        <v>https://ayudawp.com</v>
      </c>
    </row>
    <row r="42" ht="15.75" customHeight="1">
      <c r="B42" s="26" t="s">
        <v>350</v>
      </c>
      <c r="C42" s="22" t="str">
        <f>HYPERLINK("https://herramientas.ayudawp.com","https://herramientas.ayudawp.com")</f>
        <v>https://herramientas.ayudawp.com</v>
      </c>
    </row>
    <row r="43" ht="15.75" customHeight="1">
      <c r="B43" s="26" t="s">
        <v>360</v>
      </c>
      <c r="C43" s="22" t="str">
        <f>HYPERLINK("https://servicios.ayudawp.com","https://servicios.ayudawp.com")</f>
        <v>https://servicios.ayudawp.com</v>
      </c>
    </row>
    <row r="44" ht="15.75" customHeight="1">
      <c r="B44" s="26" t="s">
        <v>365</v>
      </c>
      <c r="C44" s="22" t="str">
        <f>HYPERLINK("https://mantenimiento.ayudawp.com","https://mantenimiento.ayudawp.com")</f>
        <v>https://mantenimiento.ayudawp.com</v>
      </c>
    </row>
    <row r="45" ht="15.75" customHeight="1">
      <c r="B45" s="26" t="s">
        <v>374</v>
      </c>
      <c r="C45" s="22" t="str">
        <f>HYPERLINK("https://vigilante.works/","https://vigilante.works/")</f>
        <v>https://vigilante.works/</v>
      </c>
    </row>
    <row r="46" ht="15.75" customHeight="1"/>
    <row r="47" ht="15.75" customHeight="1">
      <c r="B47" s="27" t="s">
        <v>379</v>
      </c>
    </row>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16">
    <mergeCell ref="B2:G2"/>
    <mergeCell ref="B3:G3"/>
    <mergeCell ref="D6:G6"/>
    <mergeCell ref="B9:G9"/>
    <mergeCell ref="C10:G10"/>
    <mergeCell ref="C11:G11"/>
    <mergeCell ref="C12:G12"/>
    <mergeCell ref="B38:G38"/>
    <mergeCell ref="B39:G40"/>
    <mergeCell ref="C13:G13"/>
    <mergeCell ref="B15:G15"/>
    <mergeCell ref="C16:G16"/>
    <mergeCell ref="C17:G17"/>
    <mergeCell ref="C18:G18"/>
    <mergeCell ref="B20:G20"/>
    <mergeCell ref="B25:G25"/>
  </mergeCells>
  <printOptions/>
  <pageMargins bottom="0.5" footer="0.0" header="0.0" left="0.4" right="0.4" top="0.5"/>
  <pageSetup fitToHeight="0" orientation="portrait"/>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fitToPage="1"/>
  </sheetPr>
  <sheetViews>
    <sheetView showGridLines="0" workbookViewId="0">
      <pane ySplit="4.0" topLeftCell="A5" activePane="bottomLeft" state="frozen"/>
      <selection activeCell="B6" sqref="B6" pane="bottomLeft"/>
    </sheetView>
  </sheetViews>
  <sheetFormatPr customHeight="1" defaultColWidth="14.43" defaultRowHeight="15.0"/>
  <cols>
    <col customWidth="1" min="1" max="1" width="22.0"/>
    <col customWidth="1" min="2" max="2" width="40.0"/>
    <col customWidth="1" min="3" max="3" width="62.0"/>
    <col customWidth="1" min="4" max="4" width="16.0"/>
    <col customWidth="1" min="5" max="26" width="8.71"/>
  </cols>
  <sheetData>
    <row r="1">
      <c r="A1" s="1" t="s">
        <v>0</v>
      </c>
    </row>
    <row r="2">
      <c r="A2" s="3" t="s">
        <v>3</v>
      </c>
    </row>
    <row r="4" ht="30.0" customHeight="1">
      <c r="A4" s="5" t="s">
        <v>6</v>
      </c>
      <c r="B4" s="5" t="s">
        <v>9</v>
      </c>
      <c r="C4" s="5" t="s">
        <v>10</v>
      </c>
      <c r="D4" s="5" t="s">
        <v>12</v>
      </c>
    </row>
    <row r="5" ht="30.0" customHeight="1">
      <c r="A5" s="7" t="s">
        <v>16</v>
      </c>
      <c r="B5" s="9" t="s">
        <v>19</v>
      </c>
      <c r="C5" s="9" t="s">
        <v>25</v>
      </c>
      <c r="D5" s="10" t="s">
        <v>32</v>
      </c>
    </row>
    <row r="6" ht="16.5" customHeight="1">
      <c r="A6" s="7"/>
      <c r="B6" s="9" t="s">
        <v>35</v>
      </c>
      <c r="C6" s="9" t="s">
        <v>36</v>
      </c>
      <c r="D6" s="10" t="s">
        <v>32</v>
      </c>
    </row>
    <row r="7" ht="30.0" customHeight="1">
      <c r="A7" s="7"/>
      <c r="B7" s="9" t="s">
        <v>40</v>
      </c>
      <c r="C7" s="9" t="s">
        <v>42</v>
      </c>
      <c r="D7" s="10" t="s">
        <v>32</v>
      </c>
    </row>
    <row r="8" ht="30.0" customHeight="1">
      <c r="A8" s="7"/>
      <c r="B8" s="9" t="s">
        <v>45</v>
      </c>
      <c r="C8" s="9" t="s">
        <v>46</v>
      </c>
      <c r="D8" s="10" t="s">
        <v>32</v>
      </c>
    </row>
    <row r="9" ht="16.5" customHeight="1">
      <c r="A9" s="7"/>
      <c r="B9" s="9" t="s">
        <v>55</v>
      </c>
      <c r="C9" s="9" t="s">
        <v>56</v>
      </c>
      <c r="D9" s="10" t="s">
        <v>32</v>
      </c>
    </row>
    <row r="10" ht="30.0" customHeight="1">
      <c r="A10" s="7"/>
      <c r="B10" s="9" t="s">
        <v>58</v>
      </c>
      <c r="C10" s="9" t="s">
        <v>59</v>
      </c>
      <c r="D10" s="10" t="s">
        <v>32</v>
      </c>
    </row>
    <row r="11" ht="42.75" customHeight="1">
      <c r="A11" s="7"/>
      <c r="B11" s="9" t="s">
        <v>61</v>
      </c>
      <c r="C11" s="9" t="s">
        <v>63</v>
      </c>
      <c r="D11" s="10" t="s">
        <v>32</v>
      </c>
    </row>
    <row r="12" ht="16.5" customHeight="1">
      <c r="A12" s="7"/>
      <c r="B12" s="9" t="s">
        <v>64</v>
      </c>
      <c r="C12" s="9" t="s">
        <v>66</v>
      </c>
      <c r="D12" s="10" t="s">
        <v>32</v>
      </c>
    </row>
    <row r="13" ht="30.0" customHeight="1">
      <c r="A13" s="7"/>
      <c r="B13" s="9" t="s">
        <v>68</v>
      </c>
      <c r="C13" s="9" t="s">
        <v>69</v>
      </c>
      <c r="D13" s="10" t="s">
        <v>32</v>
      </c>
    </row>
    <row r="14" ht="30.0" customHeight="1">
      <c r="A14" s="7"/>
      <c r="B14" s="9" t="s">
        <v>71</v>
      </c>
      <c r="C14" s="9" t="s">
        <v>73</v>
      </c>
      <c r="D14" s="10" t="s">
        <v>32</v>
      </c>
    </row>
    <row r="15" ht="16.5" customHeight="1">
      <c r="A15" s="7"/>
      <c r="B15" s="9" t="s">
        <v>77</v>
      </c>
      <c r="C15" s="9" t="s">
        <v>79</v>
      </c>
      <c r="D15" s="10" t="s">
        <v>32</v>
      </c>
    </row>
    <row r="16" ht="30.0" customHeight="1">
      <c r="A16" s="7"/>
      <c r="B16" s="9" t="s">
        <v>82</v>
      </c>
      <c r="C16" s="9" t="s">
        <v>85</v>
      </c>
      <c r="D16" s="10" t="s">
        <v>32</v>
      </c>
    </row>
    <row r="17" ht="30.0" customHeight="1">
      <c r="A17" s="7"/>
      <c r="B17" s="9" t="s">
        <v>88</v>
      </c>
      <c r="C17" s="9" t="s">
        <v>90</v>
      </c>
      <c r="D17" s="10" t="s">
        <v>32</v>
      </c>
    </row>
    <row r="18" ht="30.0" customHeight="1">
      <c r="A18" s="7" t="s">
        <v>94</v>
      </c>
      <c r="B18" s="9" t="s">
        <v>95</v>
      </c>
      <c r="C18" s="9" t="s">
        <v>98</v>
      </c>
      <c r="D18" s="10" t="s">
        <v>32</v>
      </c>
    </row>
    <row r="19" ht="30.0" customHeight="1">
      <c r="A19" s="7"/>
      <c r="B19" s="9" t="s">
        <v>102</v>
      </c>
      <c r="C19" s="9" t="s">
        <v>103</v>
      </c>
      <c r="D19" s="10" t="s">
        <v>32</v>
      </c>
    </row>
    <row r="20" ht="30.0" customHeight="1">
      <c r="A20" s="7"/>
      <c r="B20" s="9" t="s">
        <v>107</v>
      </c>
      <c r="C20" s="9" t="s">
        <v>109</v>
      </c>
      <c r="D20" s="10" t="s">
        <v>32</v>
      </c>
    </row>
    <row r="21" ht="30.0" customHeight="1">
      <c r="A21" s="7"/>
      <c r="B21" s="9" t="s">
        <v>111</v>
      </c>
      <c r="C21" s="9" t="s">
        <v>114</v>
      </c>
      <c r="D21" s="10" t="s">
        <v>32</v>
      </c>
    </row>
    <row r="22" ht="30.0" customHeight="1">
      <c r="A22" s="7"/>
      <c r="B22" s="9" t="s">
        <v>118</v>
      </c>
      <c r="C22" s="9" t="s">
        <v>119</v>
      </c>
      <c r="D22" s="10" t="s">
        <v>32</v>
      </c>
    </row>
    <row r="23" ht="30.0" customHeight="1">
      <c r="A23" s="7"/>
      <c r="B23" s="9" t="s">
        <v>123</v>
      </c>
      <c r="C23" s="9" t="s">
        <v>126</v>
      </c>
      <c r="D23" s="10" t="s">
        <v>32</v>
      </c>
    </row>
    <row r="24" ht="16.5" customHeight="1">
      <c r="A24" s="7"/>
      <c r="B24" s="9" t="s">
        <v>133</v>
      </c>
      <c r="C24" s="9" t="s">
        <v>134</v>
      </c>
      <c r="D24" s="10" t="s">
        <v>32</v>
      </c>
    </row>
    <row r="25" ht="30.0" customHeight="1">
      <c r="A25" s="7"/>
      <c r="B25" s="9" t="s">
        <v>136</v>
      </c>
      <c r="C25" s="9" t="s">
        <v>139</v>
      </c>
      <c r="D25" s="10" t="s">
        <v>32</v>
      </c>
    </row>
    <row r="26" ht="30.0" customHeight="1">
      <c r="A26" s="7"/>
      <c r="B26" s="9" t="s">
        <v>142</v>
      </c>
      <c r="C26" s="9" t="s">
        <v>143</v>
      </c>
      <c r="D26" s="10" t="s">
        <v>32</v>
      </c>
    </row>
    <row r="27" ht="42.75" customHeight="1">
      <c r="A27" s="7"/>
      <c r="B27" s="9" t="s">
        <v>149</v>
      </c>
      <c r="C27" s="9" t="s">
        <v>150</v>
      </c>
      <c r="D27" s="10" t="s">
        <v>32</v>
      </c>
    </row>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autoFilter ref="$A$4:$D$27"/>
  <mergeCells count="1">
    <mergeCell ref="A2:D2"/>
  </mergeCells>
  <conditionalFormatting sqref="D5:D27">
    <cfRule type="cellIs" dxfId="0" priority="1" operator="equal">
      <formula>"Hecho"</formula>
    </cfRule>
  </conditionalFormatting>
  <conditionalFormatting sqref="D5:D27">
    <cfRule type="cellIs" dxfId="1" priority="2" operator="equal">
      <formula>"En marcha"</formula>
    </cfRule>
  </conditionalFormatting>
  <conditionalFormatting sqref="D5:D27">
    <cfRule type="cellIs" dxfId="2" priority="3" operator="equal">
      <formula>"No aplica"</formula>
    </cfRule>
  </conditionalFormatting>
  <conditionalFormatting sqref="D5:D27">
    <cfRule type="cellIs" dxfId="3" priority="4" operator="equal">
      <formula>"Mal"</formula>
    </cfRule>
  </conditionalFormatting>
  <conditionalFormatting sqref="D5:D27">
    <cfRule type="cellIs" dxfId="0" priority="5" operator="equal">
      <formula>"Bien"</formula>
    </cfRule>
  </conditionalFormatting>
  <conditionalFormatting sqref="D5:D27">
    <cfRule type="cellIs" dxfId="3" priority="6" operator="equal">
      <formula>"Sí"</formula>
    </cfRule>
  </conditionalFormatting>
  <dataValidations>
    <dataValidation type="list" allowBlank="1" sqref="D5:D27">
      <formula1>"Pendiente,Lo tengo,No aplica"</formula1>
    </dataValidation>
  </dataValidations>
  <printOptions/>
  <pageMargins bottom="0.5" footer="0.0" header="0.0" left="0.4" right="0.4" top="0.5"/>
  <pageSetup fitToHeight="0" orientation="portrait"/>
  <drawing r:id="rId1"/>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fitToPage="1"/>
  </sheetPr>
  <sheetViews>
    <sheetView showGridLines="0" workbookViewId="0">
      <pane xSplit="2.0" ySplit="4.0" topLeftCell="C5" activePane="bottomRight" state="frozen"/>
      <selection activeCell="C1" sqref="C1" pane="topRight"/>
      <selection activeCell="A5" sqref="A5" pane="bottomLeft"/>
      <selection activeCell="C5" sqref="C5" pane="bottomRight"/>
    </sheetView>
  </sheetViews>
  <sheetFormatPr customHeight="1" defaultColWidth="14.43" defaultRowHeight="15.0"/>
  <cols>
    <col customWidth="1" min="1" max="1" width="26.0"/>
    <col customWidth="1" min="2" max="2" width="5.0"/>
    <col customWidth="1" min="3" max="3" width="46.0"/>
    <col customWidth="1" min="4" max="4" width="68.0"/>
    <col customWidth="1" min="5" max="5" width="24.0"/>
    <col customWidth="1" min="6" max="6" width="19.0"/>
    <col customWidth="1" min="7" max="7" width="13.0"/>
    <col customWidth="1" min="8" max="8" width="12.0"/>
    <col customWidth="1" min="9" max="9" width="45.0"/>
    <col customWidth="1" min="10" max="26" width="8.71"/>
  </cols>
  <sheetData>
    <row r="1">
      <c r="A1" s="1" t="s">
        <v>2</v>
      </c>
    </row>
    <row r="2">
      <c r="A2" s="3" t="s">
        <v>5</v>
      </c>
    </row>
    <row r="4" ht="30.0" customHeight="1">
      <c r="A4" s="5" t="s">
        <v>8</v>
      </c>
      <c r="B4" s="5" t="s">
        <v>11</v>
      </c>
      <c r="C4" s="5" t="s">
        <v>13</v>
      </c>
      <c r="D4" s="5" t="s">
        <v>14</v>
      </c>
      <c r="E4" s="5" t="s">
        <v>17</v>
      </c>
      <c r="F4" s="5" t="s">
        <v>18</v>
      </c>
      <c r="G4" s="5" t="s">
        <v>20</v>
      </c>
      <c r="H4" s="5" t="s">
        <v>21</v>
      </c>
      <c r="I4" s="5" t="s">
        <v>22</v>
      </c>
    </row>
    <row r="5" ht="42.75" customHeight="1">
      <c r="A5" s="10" t="s">
        <v>24</v>
      </c>
      <c r="B5" s="10">
        <v>1.0</v>
      </c>
      <c r="C5" s="9" t="s">
        <v>28</v>
      </c>
      <c r="D5" s="9" t="s">
        <v>29</v>
      </c>
      <c r="E5" s="9" t="s">
        <v>30</v>
      </c>
      <c r="F5" s="10" t="s">
        <v>31</v>
      </c>
      <c r="G5" s="10" t="s">
        <v>32</v>
      </c>
      <c r="H5" s="13"/>
      <c r="I5" s="10"/>
    </row>
    <row r="6" ht="69.0" customHeight="1">
      <c r="A6" s="10" t="s">
        <v>24</v>
      </c>
      <c r="B6" s="10">
        <v>2.0</v>
      </c>
      <c r="C6" s="9" t="s">
        <v>80</v>
      </c>
      <c r="D6" s="9" t="s">
        <v>81</v>
      </c>
      <c r="E6" s="9" t="s">
        <v>83</v>
      </c>
      <c r="F6" s="10" t="s">
        <v>31</v>
      </c>
      <c r="G6" s="10" t="s">
        <v>32</v>
      </c>
      <c r="H6" s="13"/>
      <c r="I6" s="10"/>
    </row>
    <row r="7" ht="55.5" customHeight="1">
      <c r="A7" s="10" t="s">
        <v>24</v>
      </c>
      <c r="B7" s="10">
        <v>3.0</v>
      </c>
      <c r="C7" s="9" t="s">
        <v>93</v>
      </c>
      <c r="D7" s="9" t="s">
        <v>96</v>
      </c>
      <c r="E7" s="9" t="s">
        <v>83</v>
      </c>
      <c r="F7" s="10" t="s">
        <v>31</v>
      </c>
      <c r="G7" s="10" t="s">
        <v>32</v>
      </c>
      <c r="H7" s="13"/>
      <c r="I7" s="10"/>
    </row>
    <row r="8" ht="30.0" customHeight="1">
      <c r="A8" s="10" t="s">
        <v>24</v>
      </c>
      <c r="B8" s="10">
        <v>4.0</v>
      </c>
      <c r="C8" s="9" t="s">
        <v>113</v>
      </c>
      <c r="D8" s="9" t="s">
        <v>116</v>
      </c>
      <c r="E8" s="9" t="s">
        <v>30</v>
      </c>
      <c r="F8" s="10" t="s">
        <v>31</v>
      </c>
      <c r="G8" s="10" t="s">
        <v>32</v>
      </c>
      <c r="H8" s="13"/>
      <c r="I8" s="10"/>
    </row>
    <row r="9" ht="42.75" customHeight="1">
      <c r="A9" s="10" t="s">
        <v>121</v>
      </c>
      <c r="B9" s="10">
        <v>5.0</v>
      </c>
      <c r="C9" s="9" t="s">
        <v>125</v>
      </c>
      <c r="D9" s="9" t="s">
        <v>129</v>
      </c>
      <c r="E9" s="9" t="s">
        <v>30</v>
      </c>
      <c r="F9" s="10" t="s">
        <v>31</v>
      </c>
      <c r="G9" s="10" t="s">
        <v>32</v>
      </c>
      <c r="H9" s="13"/>
      <c r="I9" s="10"/>
    </row>
    <row r="10" ht="42.75" customHeight="1">
      <c r="A10" s="10" t="s">
        <v>121</v>
      </c>
      <c r="B10" s="10">
        <v>6.0</v>
      </c>
      <c r="C10" s="9" t="s">
        <v>138</v>
      </c>
      <c r="D10" s="9" t="s">
        <v>141</v>
      </c>
      <c r="E10" s="9" t="s">
        <v>30</v>
      </c>
      <c r="F10" s="10" t="s">
        <v>31</v>
      </c>
      <c r="G10" s="10" t="s">
        <v>32</v>
      </c>
      <c r="H10" s="13"/>
      <c r="I10" s="10"/>
    </row>
    <row r="11" ht="55.5" customHeight="1">
      <c r="A11" s="10" t="s">
        <v>121</v>
      </c>
      <c r="B11" s="10">
        <v>7.0</v>
      </c>
      <c r="C11" s="9" t="s">
        <v>145</v>
      </c>
      <c r="D11" s="9" t="s">
        <v>147</v>
      </c>
      <c r="E11" s="9" t="s">
        <v>30</v>
      </c>
      <c r="F11" s="10" t="s">
        <v>31</v>
      </c>
      <c r="G11" s="10" t="s">
        <v>32</v>
      </c>
      <c r="H11" s="13"/>
      <c r="I11" s="10"/>
    </row>
    <row r="12" ht="42.75" customHeight="1">
      <c r="A12" s="10" t="s">
        <v>121</v>
      </c>
      <c r="B12" s="10">
        <v>8.0</v>
      </c>
      <c r="C12" s="9" t="s">
        <v>152</v>
      </c>
      <c r="D12" s="9" t="s">
        <v>154</v>
      </c>
      <c r="E12" s="9" t="s">
        <v>30</v>
      </c>
      <c r="F12" s="10" t="s">
        <v>31</v>
      </c>
      <c r="G12" s="10" t="s">
        <v>32</v>
      </c>
      <c r="H12" s="13"/>
      <c r="I12" s="10"/>
    </row>
    <row r="13" ht="55.5" customHeight="1">
      <c r="A13" s="10" t="s">
        <v>121</v>
      </c>
      <c r="B13" s="10">
        <v>9.0</v>
      </c>
      <c r="C13" s="9" t="s">
        <v>157</v>
      </c>
      <c r="D13" s="9" t="s">
        <v>159</v>
      </c>
      <c r="E13" s="9" t="s">
        <v>30</v>
      </c>
      <c r="F13" s="10" t="s">
        <v>31</v>
      </c>
      <c r="G13" s="10" t="s">
        <v>32</v>
      </c>
      <c r="H13" s="13"/>
      <c r="I13" s="10"/>
    </row>
    <row r="14" ht="42.75" customHeight="1">
      <c r="A14" s="10" t="s">
        <v>121</v>
      </c>
      <c r="B14" s="10">
        <v>10.0</v>
      </c>
      <c r="C14" s="9" t="s">
        <v>162</v>
      </c>
      <c r="D14" s="9" t="s">
        <v>164</v>
      </c>
      <c r="E14" s="9" t="s">
        <v>30</v>
      </c>
      <c r="F14" s="18" t="s">
        <v>168</v>
      </c>
      <c r="G14" s="10" t="s">
        <v>32</v>
      </c>
      <c r="H14" s="13"/>
      <c r="I14" s="10"/>
    </row>
    <row r="15" ht="42.75" customHeight="1">
      <c r="A15" s="10" t="s">
        <v>121</v>
      </c>
      <c r="B15" s="10">
        <v>11.0</v>
      </c>
      <c r="C15" s="9" t="s">
        <v>172</v>
      </c>
      <c r="D15" s="9" t="s">
        <v>174</v>
      </c>
      <c r="E15" s="9" t="s">
        <v>176</v>
      </c>
      <c r="F15" s="10" t="s">
        <v>31</v>
      </c>
      <c r="G15" s="10" t="s">
        <v>32</v>
      </c>
      <c r="H15" s="13"/>
      <c r="I15" s="10"/>
    </row>
    <row r="16" ht="42.75" customHeight="1">
      <c r="A16" s="10" t="s">
        <v>121</v>
      </c>
      <c r="B16" s="10">
        <v>12.0</v>
      </c>
      <c r="C16" s="9" t="s">
        <v>178</v>
      </c>
      <c r="D16" s="9" t="s">
        <v>180</v>
      </c>
      <c r="E16" s="9" t="s">
        <v>30</v>
      </c>
      <c r="F16" s="10" t="s">
        <v>31</v>
      </c>
      <c r="G16" s="10" t="s">
        <v>32</v>
      </c>
      <c r="H16" s="13"/>
      <c r="I16" s="10"/>
    </row>
    <row r="17" ht="42.75" customHeight="1">
      <c r="A17" s="10" t="s">
        <v>121</v>
      </c>
      <c r="B17" s="10">
        <v>13.0</v>
      </c>
      <c r="C17" s="9" t="s">
        <v>183</v>
      </c>
      <c r="D17" s="9" t="s">
        <v>184</v>
      </c>
      <c r="E17" s="9" t="s">
        <v>30</v>
      </c>
      <c r="F17" s="10" t="s">
        <v>31</v>
      </c>
      <c r="G17" s="10" t="s">
        <v>32</v>
      </c>
      <c r="H17" s="13"/>
      <c r="I17" s="10"/>
    </row>
    <row r="18" ht="42.75" customHeight="1">
      <c r="A18" s="10" t="s">
        <v>121</v>
      </c>
      <c r="B18" s="10">
        <v>14.0</v>
      </c>
      <c r="C18" s="9" t="s">
        <v>187</v>
      </c>
      <c r="D18" s="9" t="s">
        <v>189</v>
      </c>
      <c r="E18" s="9" t="s">
        <v>30</v>
      </c>
      <c r="F18" s="18" t="s">
        <v>168</v>
      </c>
      <c r="G18" s="10" t="s">
        <v>32</v>
      </c>
      <c r="H18" s="13"/>
      <c r="I18" s="10"/>
    </row>
    <row r="19" ht="55.5" customHeight="1">
      <c r="A19" s="10" t="s">
        <v>121</v>
      </c>
      <c r="B19" s="10">
        <v>15.0</v>
      </c>
      <c r="C19" s="9" t="s">
        <v>192</v>
      </c>
      <c r="D19" s="9" t="s">
        <v>194</v>
      </c>
      <c r="E19" s="9" t="s">
        <v>30</v>
      </c>
      <c r="F19" s="10" t="s">
        <v>31</v>
      </c>
      <c r="G19" s="10" t="s">
        <v>32</v>
      </c>
      <c r="H19" s="13"/>
      <c r="I19" s="10"/>
    </row>
    <row r="20" ht="55.5" customHeight="1">
      <c r="A20" s="10" t="s">
        <v>195</v>
      </c>
      <c r="B20" s="10">
        <v>16.0</v>
      </c>
      <c r="C20" s="9" t="s">
        <v>197</v>
      </c>
      <c r="D20" s="9" t="s">
        <v>199</v>
      </c>
      <c r="E20" s="9" t="s">
        <v>30</v>
      </c>
      <c r="F20" s="10" t="s">
        <v>31</v>
      </c>
      <c r="G20" s="10" t="s">
        <v>32</v>
      </c>
      <c r="H20" s="13"/>
      <c r="I20" s="10"/>
    </row>
    <row r="21" ht="55.5" customHeight="1">
      <c r="A21" s="10" t="s">
        <v>195</v>
      </c>
      <c r="B21" s="10">
        <v>17.0</v>
      </c>
      <c r="C21" s="9" t="s">
        <v>202</v>
      </c>
      <c r="D21" s="9" t="s">
        <v>204</v>
      </c>
      <c r="E21" s="9" t="s">
        <v>30</v>
      </c>
      <c r="F21" s="10" t="s">
        <v>31</v>
      </c>
      <c r="G21" s="10" t="s">
        <v>32</v>
      </c>
      <c r="H21" s="13"/>
      <c r="I21" s="10"/>
    </row>
    <row r="22" ht="42.75" customHeight="1">
      <c r="A22" s="10" t="s">
        <v>195</v>
      </c>
      <c r="B22" s="10">
        <v>18.0</v>
      </c>
      <c r="C22" s="9" t="s">
        <v>207</v>
      </c>
      <c r="D22" s="9" t="s">
        <v>209</v>
      </c>
      <c r="E22" s="9" t="s">
        <v>30</v>
      </c>
      <c r="F22" s="10" t="s">
        <v>31</v>
      </c>
      <c r="G22" s="10" t="s">
        <v>32</v>
      </c>
      <c r="H22" s="13"/>
      <c r="I22" s="10"/>
    </row>
    <row r="23" ht="42.75" customHeight="1">
      <c r="A23" s="10" t="s">
        <v>195</v>
      </c>
      <c r="B23" s="10">
        <v>19.0</v>
      </c>
      <c r="C23" s="9" t="s">
        <v>212</v>
      </c>
      <c r="D23" s="9" t="s">
        <v>213</v>
      </c>
      <c r="E23" s="9" t="s">
        <v>30</v>
      </c>
      <c r="F23" s="10" t="s">
        <v>31</v>
      </c>
      <c r="G23" s="10" t="s">
        <v>32</v>
      </c>
      <c r="H23" s="13"/>
      <c r="I23" s="10"/>
    </row>
    <row r="24" ht="42.75" customHeight="1">
      <c r="A24" s="10" t="s">
        <v>195</v>
      </c>
      <c r="B24" s="10">
        <v>20.0</v>
      </c>
      <c r="C24" s="9" t="s">
        <v>217</v>
      </c>
      <c r="D24" s="9" t="s">
        <v>218</v>
      </c>
      <c r="E24" s="9" t="s">
        <v>30</v>
      </c>
      <c r="F24" s="10" t="s">
        <v>31</v>
      </c>
      <c r="G24" s="10" t="s">
        <v>32</v>
      </c>
      <c r="H24" s="13"/>
      <c r="I24" s="10"/>
    </row>
    <row r="25" ht="55.5" customHeight="1">
      <c r="A25" s="10" t="s">
        <v>195</v>
      </c>
      <c r="B25" s="10">
        <v>21.0</v>
      </c>
      <c r="C25" s="9" t="s">
        <v>223</v>
      </c>
      <c r="D25" s="9" t="s">
        <v>225</v>
      </c>
      <c r="E25" s="9" t="s">
        <v>30</v>
      </c>
      <c r="F25" s="10" t="s">
        <v>31</v>
      </c>
      <c r="G25" s="10" t="s">
        <v>32</v>
      </c>
      <c r="H25" s="13"/>
      <c r="I25" s="10"/>
    </row>
    <row r="26" ht="55.5" customHeight="1">
      <c r="A26" s="10" t="s">
        <v>195</v>
      </c>
      <c r="B26" s="10">
        <v>22.0</v>
      </c>
      <c r="C26" s="9" t="s">
        <v>229</v>
      </c>
      <c r="D26" s="9" t="s">
        <v>232</v>
      </c>
      <c r="E26" s="9" t="s">
        <v>30</v>
      </c>
      <c r="F26" s="10" t="s">
        <v>31</v>
      </c>
      <c r="G26" s="10" t="s">
        <v>32</v>
      </c>
      <c r="H26" s="13"/>
      <c r="I26" s="10"/>
    </row>
    <row r="27" ht="55.5" customHeight="1">
      <c r="A27" s="10" t="s">
        <v>233</v>
      </c>
      <c r="B27" s="10">
        <v>23.0</v>
      </c>
      <c r="C27" s="9" t="s">
        <v>235</v>
      </c>
      <c r="D27" s="9" t="s">
        <v>237</v>
      </c>
      <c r="E27" s="9" t="s">
        <v>30</v>
      </c>
      <c r="F27" s="18" t="s">
        <v>168</v>
      </c>
      <c r="G27" s="10" t="s">
        <v>32</v>
      </c>
      <c r="H27" s="13"/>
      <c r="I27" s="10"/>
    </row>
    <row r="28" ht="42.75" customHeight="1">
      <c r="A28" s="10" t="s">
        <v>233</v>
      </c>
      <c r="B28" s="10">
        <v>24.0</v>
      </c>
      <c r="C28" s="9" t="s">
        <v>239</v>
      </c>
      <c r="D28" s="9" t="s">
        <v>240</v>
      </c>
      <c r="E28" s="9" t="s">
        <v>30</v>
      </c>
      <c r="F28" s="18" t="s">
        <v>168</v>
      </c>
      <c r="G28" s="10" t="s">
        <v>32</v>
      </c>
      <c r="H28" s="13"/>
      <c r="I28" s="10"/>
    </row>
    <row r="29" ht="55.5" customHeight="1">
      <c r="A29" s="10" t="s">
        <v>233</v>
      </c>
      <c r="B29" s="10">
        <v>25.0</v>
      </c>
      <c r="C29" s="9" t="s">
        <v>244</v>
      </c>
      <c r="D29" s="9" t="s">
        <v>245</v>
      </c>
      <c r="E29" s="9" t="s">
        <v>30</v>
      </c>
      <c r="F29" s="21" t="s">
        <v>247</v>
      </c>
      <c r="G29" s="10" t="s">
        <v>32</v>
      </c>
      <c r="H29" s="13"/>
      <c r="I29" s="10"/>
    </row>
    <row r="30" ht="42.75" customHeight="1">
      <c r="A30" s="10" t="s">
        <v>233</v>
      </c>
      <c r="B30" s="10">
        <v>26.0</v>
      </c>
      <c r="C30" s="9" t="s">
        <v>251</v>
      </c>
      <c r="D30" s="9" t="s">
        <v>252</v>
      </c>
      <c r="E30" s="9" t="s">
        <v>30</v>
      </c>
      <c r="F30" s="18" t="s">
        <v>168</v>
      </c>
      <c r="G30" s="10" t="s">
        <v>32</v>
      </c>
      <c r="H30" s="13"/>
      <c r="I30" s="10"/>
    </row>
    <row r="31" ht="42.75" customHeight="1">
      <c r="A31" s="10" t="s">
        <v>233</v>
      </c>
      <c r="B31" s="10">
        <v>27.0</v>
      </c>
      <c r="C31" s="9" t="s">
        <v>253</v>
      </c>
      <c r="D31" s="9" t="s">
        <v>254</v>
      </c>
      <c r="E31" s="9" t="s">
        <v>30</v>
      </c>
      <c r="F31" s="21" t="s">
        <v>247</v>
      </c>
      <c r="G31" s="10" t="s">
        <v>32</v>
      </c>
      <c r="H31" s="13"/>
      <c r="I31" s="10"/>
    </row>
    <row r="32" ht="42.75" customHeight="1">
      <c r="A32" s="10" t="s">
        <v>233</v>
      </c>
      <c r="B32" s="10">
        <v>28.0</v>
      </c>
      <c r="C32" s="9" t="s">
        <v>99</v>
      </c>
      <c r="D32" s="9" t="s">
        <v>255</v>
      </c>
      <c r="E32" s="9" t="s">
        <v>30</v>
      </c>
      <c r="F32" s="18" t="s">
        <v>168</v>
      </c>
      <c r="G32" s="10" t="s">
        <v>32</v>
      </c>
      <c r="H32" s="13"/>
      <c r="I32" s="10"/>
    </row>
    <row r="33" ht="42.75" customHeight="1">
      <c r="A33" s="10" t="s">
        <v>233</v>
      </c>
      <c r="B33" s="10">
        <v>29.0</v>
      </c>
      <c r="C33" s="9" t="s">
        <v>256</v>
      </c>
      <c r="D33" s="9" t="s">
        <v>257</v>
      </c>
      <c r="E33" s="9" t="s">
        <v>30</v>
      </c>
      <c r="F33" s="18" t="s">
        <v>168</v>
      </c>
      <c r="G33" s="10" t="s">
        <v>32</v>
      </c>
      <c r="H33" s="13"/>
      <c r="I33" s="10"/>
    </row>
    <row r="34" ht="42.75" customHeight="1">
      <c r="A34" s="10" t="s">
        <v>233</v>
      </c>
      <c r="B34" s="10">
        <v>30.0</v>
      </c>
      <c r="C34" s="9" t="s">
        <v>258</v>
      </c>
      <c r="D34" s="9" t="s">
        <v>259</v>
      </c>
      <c r="E34" s="9" t="s">
        <v>30</v>
      </c>
      <c r="F34" s="18" t="s">
        <v>168</v>
      </c>
      <c r="G34" s="10" t="s">
        <v>32</v>
      </c>
      <c r="H34" s="13"/>
      <c r="I34" s="10"/>
    </row>
    <row r="35" ht="42.75" customHeight="1">
      <c r="A35" s="10" t="s">
        <v>233</v>
      </c>
      <c r="B35" s="10">
        <v>31.0</v>
      </c>
      <c r="C35" s="9" t="s">
        <v>260</v>
      </c>
      <c r="D35" s="9" t="s">
        <v>261</v>
      </c>
      <c r="E35" s="9" t="s">
        <v>30</v>
      </c>
      <c r="F35" s="18" t="s">
        <v>168</v>
      </c>
      <c r="G35" s="10" t="s">
        <v>32</v>
      </c>
      <c r="H35" s="13"/>
      <c r="I35" s="10"/>
    </row>
    <row r="36" ht="55.5" customHeight="1">
      <c r="A36" s="10" t="s">
        <v>233</v>
      </c>
      <c r="B36" s="10">
        <v>32.0</v>
      </c>
      <c r="C36" s="9" t="s">
        <v>262</v>
      </c>
      <c r="D36" s="9" t="s">
        <v>263</v>
      </c>
      <c r="E36" s="9" t="s">
        <v>30</v>
      </c>
      <c r="F36" s="18" t="s">
        <v>168</v>
      </c>
      <c r="G36" s="10" t="s">
        <v>32</v>
      </c>
      <c r="H36" s="13"/>
      <c r="I36" s="10"/>
    </row>
    <row r="37" ht="42.75" customHeight="1">
      <c r="A37" s="10" t="s">
        <v>264</v>
      </c>
      <c r="B37" s="10">
        <v>33.0</v>
      </c>
      <c r="C37" s="9" t="s">
        <v>265</v>
      </c>
      <c r="D37" s="9" t="s">
        <v>266</v>
      </c>
      <c r="E37" s="9" t="s">
        <v>30</v>
      </c>
      <c r="F37" s="10" t="s">
        <v>31</v>
      </c>
      <c r="G37" s="10" t="s">
        <v>32</v>
      </c>
      <c r="H37" s="13"/>
      <c r="I37" s="10"/>
    </row>
    <row r="38" ht="42.75" customHeight="1">
      <c r="A38" s="10" t="s">
        <v>264</v>
      </c>
      <c r="B38" s="10">
        <v>34.0</v>
      </c>
      <c r="C38" s="9" t="s">
        <v>267</v>
      </c>
      <c r="D38" s="9" t="s">
        <v>268</v>
      </c>
      <c r="E38" s="9" t="s">
        <v>30</v>
      </c>
      <c r="F38" s="21" t="s">
        <v>247</v>
      </c>
      <c r="G38" s="10" t="s">
        <v>32</v>
      </c>
      <c r="H38" s="13"/>
      <c r="I38" s="10"/>
    </row>
    <row r="39" ht="42.75" customHeight="1">
      <c r="A39" s="10" t="s">
        <v>264</v>
      </c>
      <c r="B39" s="10">
        <v>35.0</v>
      </c>
      <c r="C39" s="9" t="s">
        <v>269</v>
      </c>
      <c r="D39" s="9" t="s">
        <v>270</v>
      </c>
      <c r="E39" s="9" t="s">
        <v>30</v>
      </c>
      <c r="F39" s="18" t="s">
        <v>168</v>
      </c>
      <c r="G39" s="10" t="s">
        <v>32</v>
      </c>
      <c r="H39" s="13"/>
      <c r="I39" s="10"/>
    </row>
    <row r="40" ht="42.75" customHeight="1">
      <c r="A40" s="10" t="s">
        <v>264</v>
      </c>
      <c r="B40" s="10">
        <v>36.0</v>
      </c>
      <c r="C40" s="9" t="s">
        <v>271</v>
      </c>
      <c r="D40" s="9" t="s">
        <v>272</v>
      </c>
      <c r="E40" s="9" t="s">
        <v>30</v>
      </c>
      <c r="F40" s="18" t="s">
        <v>168</v>
      </c>
      <c r="G40" s="10" t="s">
        <v>32</v>
      </c>
      <c r="H40" s="13"/>
      <c r="I40" s="10"/>
    </row>
    <row r="41" ht="30.0" customHeight="1">
      <c r="A41" s="10" t="s">
        <v>264</v>
      </c>
      <c r="B41" s="10">
        <v>37.0</v>
      </c>
      <c r="C41" s="9" t="s">
        <v>273</v>
      </c>
      <c r="D41" s="9" t="s">
        <v>274</v>
      </c>
      <c r="E41" s="9" t="s">
        <v>30</v>
      </c>
      <c r="F41" s="18" t="s">
        <v>168</v>
      </c>
      <c r="G41" s="10" t="s">
        <v>32</v>
      </c>
      <c r="H41" s="13"/>
      <c r="I41" s="10"/>
    </row>
    <row r="42" ht="42.75" customHeight="1">
      <c r="A42" s="10" t="s">
        <v>264</v>
      </c>
      <c r="B42" s="10">
        <v>38.0</v>
      </c>
      <c r="C42" s="9" t="s">
        <v>275</v>
      </c>
      <c r="D42" s="9" t="s">
        <v>276</v>
      </c>
      <c r="E42" s="9" t="s">
        <v>30</v>
      </c>
      <c r="F42" s="10" t="s">
        <v>31</v>
      </c>
      <c r="G42" s="10" t="s">
        <v>32</v>
      </c>
      <c r="H42" s="13"/>
      <c r="I42" s="10"/>
    </row>
    <row r="43" ht="42.75" customHeight="1">
      <c r="A43" s="10" t="s">
        <v>264</v>
      </c>
      <c r="B43" s="10">
        <v>39.0</v>
      </c>
      <c r="C43" s="9" t="s">
        <v>277</v>
      </c>
      <c r="D43" s="9" t="s">
        <v>278</v>
      </c>
      <c r="E43" s="9" t="s">
        <v>30</v>
      </c>
      <c r="F43" s="10" t="s">
        <v>31</v>
      </c>
      <c r="G43" s="10" t="s">
        <v>32</v>
      </c>
      <c r="H43" s="13"/>
      <c r="I43" s="10"/>
    </row>
    <row r="44" ht="42.75" customHeight="1">
      <c r="A44" s="10" t="s">
        <v>264</v>
      </c>
      <c r="B44" s="10">
        <v>40.0</v>
      </c>
      <c r="C44" s="9" t="s">
        <v>279</v>
      </c>
      <c r="D44" s="9" t="s">
        <v>280</v>
      </c>
      <c r="E44" s="9" t="s">
        <v>30</v>
      </c>
      <c r="F44" s="10" t="s">
        <v>31</v>
      </c>
      <c r="G44" s="10" t="s">
        <v>32</v>
      </c>
      <c r="H44" s="13"/>
      <c r="I44" s="10"/>
    </row>
    <row r="45" ht="30.0" customHeight="1">
      <c r="A45" s="10" t="s">
        <v>264</v>
      </c>
      <c r="B45" s="10">
        <v>41.0</v>
      </c>
      <c r="C45" s="9" t="s">
        <v>281</v>
      </c>
      <c r="D45" s="9" t="s">
        <v>282</v>
      </c>
      <c r="E45" s="9" t="s">
        <v>30</v>
      </c>
      <c r="F45" s="18" t="s">
        <v>168</v>
      </c>
      <c r="G45" s="10" t="s">
        <v>32</v>
      </c>
      <c r="H45" s="13"/>
      <c r="I45" s="10"/>
    </row>
    <row r="46" ht="42.75" customHeight="1">
      <c r="A46" s="10" t="s">
        <v>264</v>
      </c>
      <c r="B46" s="10">
        <v>42.0</v>
      </c>
      <c r="C46" s="9" t="s">
        <v>283</v>
      </c>
      <c r="D46" s="9" t="s">
        <v>284</v>
      </c>
      <c r="E46" s="9" t="s">
        <v>285</v>
      </c>
      <c r="F46" s="21" t="s">
        <v>247</v>
      </c>
      <c r="G46" s="10" t="s">
        <v>32</v>
      </c>
      <c r="H46" s="13"/>
      <c r="I46" s="10"/>
    </row>
    <row r="47" ht="42.75" customHeight="1">
      <c r="A47" s="10" t="s">
        <v>286</v>
      </c>
      <c r="B47" s="10">
        <v>43.0</v>
      </c>
      <c r="C47" s="9" t="s">
        <v>287</v>
      </c>
      <c r="D47" s="9" t="s">
        <v>288</v>
      </c>
      <c r="E47" s="9" t="s">
        <v>30</v>
      </c>
      <c r="F47" s="10" t="s">
        <v>31</v>
      </c>
      <c r="G47" s="10" t="s">
        <v>32</v>
      </c>
      <c r="H47" s="13"/>
      <c r="I47" s="10"/>
    </row>
    <row r="48" ht="30.0" customHeight="1">
      <c r="A48" s="10" t="s">
        <v>286</v>
      </c>
      <c r="B48" s="10">
        <v>44.0</v>
      </c>
      <c r="C48" s="9" t="s">
        <v>289</v>
      </c>
      <c r="D48" s="9" t="s">
        <v>290</v>
      </c>
      <c r="E48" s="9" t="s">
        <v>30</v>
      </c>
      <c r="F48" s="10" t="s">
        <v>31</v>
      </c>
      <c r="G48" s="10" t="s">
        <v>32</v>
      </c>
      <c r="H48" s="13"/>
      <c r="I48" s="10"/>
    </row>
    <row r="49" ht="30.0" customHeight="1">
      <c r="A49" s="10" t="s">
        <v>286</v>
      </c>
      <c r="B49" s="10">
        <v>45.0</v>
      </c>
      <c r="C49" s="9" t="s">
        <v>291</v>
      </c>
      <c r="D49" s="9" t="s">
        <v>292</v>
      </c>
      <c r="E49" s="9" t="s">
        <v>30</v>
      </c>
      <c r="F49" s="18" t="s">
        <v>168</v>
      </c>
      <c r="G49" s="10" t="s">
        <v>32</v>
      </c>
      <c r="H49" s="13"/>
      <c r="I49" s="10"/>
    </row>
    <row r="50" ht="42.75" customHeight="1">
      <c r="A50" s="10" t="s">
        <v>286</v>
      </c>
      <c r="B50" s="10">
        <v>46.0</v>
      </c>
      <c r="C50" s="9" t="s">
        <v>293</v>
      </c>
      <c r="D50" s="9" t="s">
        <v>294</v>
      </c>
      <c r="E50" s="9" t="s">
        <v>30</v>
      </c>
      <c r="F50" s="10" t="s">
        <v>31</v>
      </c>
      <c r="G50" s="10" t="s">
        <v>32</v>
      </c>
      <c r="H50" s="13"/>
      <c r="I50" s="10"/>
    </row>
    <row r="51" ht="42.75" customHeight="1">
      <c r="A51" s="10" t="s">
        <v>286</v>
      </c>
      <c r="B51" s="10">
        <v>47.0</v>
      </c>
      <c r="C51" s="9" t="s">
        <v>295</v>
      </c>
      <c r="D51" s="9" t="s">
        <v>296</v>
      </c>
      <c r="E51" s="9" t="s">
        <v>30</v>
      </c>
      <c r="F51" s="10" t="s">
        <v>31</v>
      </c>
      <c r="G51" s="10" t="s">
        <v>32</v>
      </c>
      <c r="H51" s="13"/>
      <c r="I51" s="10"/>
    </row>
    <row r="52" ht="42.75" customHeight="1">
      <c r="A52" s="10" t="s">
        <v>286</v>
      </c>
      <c r="B52" s="10">
        <v>48.0</v>
      </c>
      <c r="C52" s="9" t="s">
        <v>297</v>
      </c>
      <c r="D52" s="9" t="s">
        <v>298</v>
      </c>
      <c r="E52" s="9" t="s">
        <v>30</v>
      </c>
      <c r="F52" s="10" t="s">
        <v>31</v>
      </c>
      <c r="G52" s="10" t="s">
        <v>32</v>
      </c>
      <c r="H52" s="13"/>
      <c r="I52" s="10"/>
    </row>
    <row r="53" ht="42.75" customHeight="1">
      <c r="A53" s="10" t="s">
        <v>286</v>
      </c>
      <c r="B53" s="10">
        <v>49.0</v>
      </c>
      <c r="C53" s="9" t="s">
        <v>299</v>
      </c>
      <c r="D53" s="9" t="s">
        <v>300</v>
      </c>
      <c r="E53" s="9" t="s">
        <v>30</v>
      </c>
      <c r="F53" s="10" t="s">
        <v>31</v>
      </c>
      <c r="G53" s="10" t="s">
        <v>32</v>
      </c>
      <c r="H53" s="13"/>
      <c r="I53" s="10"/>
    </row>
    <row r="54" ht="30.0" customHeight="1">
      <c r="A54" s="10" t="s">
        <v>286</v>
      </c>
      <c r="B54" s="10">
        <v>50.0</v>
      </c>
      <c r="C54" s="9" t="s">
        <v>301</v>
      </c>
      <c r="D54" s="9" t="s">
        <v>303</v>
      </c>
      <c r="E54" s="9" t="s">
        <v>30</v>
      </c>
      <c r="F54" s="18" t="s">
        <v>168</v>
      </c>
      <c r="G54" s="10" t="s">
        <v>32</v>
      </c>
      <c r="H54" s="13"/>
      <c r="I54" s="10"/>
    </row>
    <row r="55" ht="30.0" customHeight="1">
      <c r="A55" s="10" t="s">
        <v>286</v>
      </c>
      <c r="B55" s="10">
        <v>51.0</v>
      </c>
      <c r="C55" s="9" t="s">
        <v>304</v>
      </c>
      <c r="D55" s="9" t="s">
        <v>305</v>
      </c>
      <c r="E55" s="9" t="s">
        <v>30</v>
      </c>
      <c r="F55" s="18" t="s">
        <v>168</v>
      </c>
      <c r="G55" s="10" t="s">
        <v>32</v>
      </c>
      <c r="H55" s="13"/>
      <c r="I55" s="10"/>
    </row>
    <row r="56" ht="30.0" customHeight="1">
      <c r="A56" s="10" t="s">
        <v>286</v>
      </c>
      <c r="B56" s="10">
        <v>52.0</v>
      </c>
      <c r="C56" s="9" t="s">
        <v>306</v>
      </c>
      <c r="D56" s="9" t="s">
        <v>307</v>
      </c>
      <c r="E56" s="9" t="s">
        <v>30</v>
      </c>
      <c r="F56" s="18" t="s">
        <v>168</v>
      </c>
      <c r="G56" s="10" t="s">
        <v>32</v>
      </c>
      <c r="H56" s="13"/>
      <c r="I56" s="10"/>
    </row>
    <row r="57" ht="42.75" customHeight="1">
      <c r="A57" s="10" t="s">
        <v>286</v>
      </c>
      <c r="B57" s="10">
        <v>53.0</v>
      </c>
      <c r="C57" s="9" t="s">
        <v>309</v>
      </c>
      <c r="D57" s="9" t="s">
        <v>310</v>
      </c>
      <c r="E57" s="9" t="s">
        <v>30</v>
      </c>
      <c r="F57" s="10" t="s">
        <v>31</v>
      </c>
      <c r="G57" s="10" t="s">
        <v>32</v>
      </c>
      <c r="H57" s="13"/>
      <c r="I57" s="22" t="str">
        <f>HYPERLINK("https://vigilante.works/","https://vigilante.works/")</f>
        <v>https://vigilante.works/</v>
      </c>
    </row>
    <row r="58" ht="42.75" customHeight="1">
      <c r="A58" s="10" t="s">
        <v>286</v>
      </c>
      <c r="B58" s="10">
        <v>54.0</v>
      </c>
      <c r="C58" s="9" t="s">
        <v>312</v>
      </c>
      <c r="D58" s="9" t="s">
        <v>313</v>
      </c>
      <c r="E58" s="9" t="s">
        <v>30</v>
      </c>
      <c r="F58" s="10" t="s">
        <v>31</v>
      </c>
      <c r="G58" s="10" t="s">
        <v>32</v>
      </c>
      <c r="H58" s="13"/>
      <c r="I58" s="10"/>
    </row>
    <row r="59" ht="42.75" customHeight="1">
      <c r="A59" s="10" t="s">
        <v>286</v>
      </c>
      <c r="B59" s="10">
        <v>55.0</v>
      </c>
      <c r="C59" s="9" t="s">
        <v>314</v>
      </c>
      <c r="D59" s="9" t="s">
        <v>315</v>
      </c>
      <c r="E59" s="9" t="s">
        <v>30</v>
      </c>
      <c r="F59" s="10" t="s">
        <v>31</v>
      </c>
      <c r="G59" s="10" t="s">
        <v>32</v>
      </c>
      <c r="H59" s="13"/>
      <c r="I59" s="10"/>
    </row>
    <row r="60" ht="42.75" customHeight="1">
      <c r="A60" s="10" t="s">
        <v>302</v>
      </c>
      <c r="B60" s="10">
        <v>56.0</v>
      </c>
      <c r="C60" s="9" t="s">
        <v>316</v>
      </c>
      <c r="D60" s="9" t="s">
        <v>317</v>
      </c>
      <c r="E60" s="9" t="s">
        <v>30</v>
      </c>
      <c r="F60" s="10" t="s">
        <v>31</v>
      </c>
      <c r="G60" s="10" t="s">
        <v>32</v>
      </c>
      <c r="H60" s="13"/>
      <c r="I60" s="10"/>
    </row>
    <row r="61" ht="42.75" customHeight="1">
      <c r="A61" s="10" t="s">
        <v>302</v>
      </c>
      <c r="B61" s="10">
        <v>57.0</v>
      </c>
      <c r="C61" s="9" t="s">
        <v>318</v>
      </c>
      <c r="D61" s="9" t="s">
        <v>319</v>
      </c>
      <c r="E61" s="9" t="s">
        <v>30</v>
      </c>
      <c r="F61" s="10" t="s">
        <v>31</v>
      </c>
      <c r="G61" s="10" t="s">
        <v>32</v>
      </c>
      <c r="H61" s="13"/>
      <c r="I61" s="10"/>
    </row>
    <row r="62" ht="30.0" customHeight="1">
      <c r="A62" s="10" t="s">
        <v>302</v>
      </c>
      <c r="B62" s="10">
        <v>58.0</v>
      </c>
      <c r="C62" s="9" t="s">
        <v>320</v>
      </c>
      <c r="D62" s="9" t="s">
        <v>321</v>
      </c>
      <c r="E62" s="9" t="s">
        <v>30</v>
      </c>
      <c r="F62" s="10" t="s">
        <v>31</v>
      </c>
      <c r="G62" s="10" t="s">
        <v>32</v>
      </c>
      <c r="H62" s="13"/>
      <c r="I62" s="10"/>
    </row>
    <row r="63" ht="30.0" customHeight="1">
      <c r="A63" s="10" t="s">
        <v>302</v>
      </c>
      <c r="B63" s="10">
        <v>59.0</v>
      </c>
      <c r="C63" s="9" t="s">
        <v>322</v>
      </c>
      <c r="D63" s="9" t="s">
        <v>323</v>
      </c>
      <c r="E63" s="9" t="s">
        <v>30</v>
      </c>
      <c r="F63" s="10" t="s">
        <v>31</v>
      </c>
      <c r="G63" s="10" t="s">
        <v>32</v>
      </c>
      <c r="H63" s="13"/>
      <c r="I63" s="10"/>
    </row>
    <row r="64" ht="42.75" customHeight="1">
      <c r="A64" s="10" t="s">
        <v>302</v>
      </c>
      <c r="B64" s="10">
        <v>60.0</v>
      </c>
      <c r="C64" s="9" t="s">
        <v>324</v>
      </c>
      <c r="D64" s="9" t="s">
        <v>325</v>
      </c>
      <c r="E64" s="9" t="s">
        <v>30</v>
      </c>
      <c r="F64" s="18" t="s">
        <v>168</v>
      </c>
      <c r="G64" s="10" t="s">
        <v>32</v>
      </c>
      <c r="H64" s="13"/>
      <c r="I64" s="10"/>
    </row>
    <row r="65" ht="42.75" customHeight="1">
      <c r="A65" s="10" t="s">
        <v>302</v>
      </c>
      <c r="B65" s="10">
        <v>61.0</v>
      </c>
      <c r="C65" s="9" t="s">
        <v>326</v>
      </c>
      <c r="D65" s="9" t="s">
        <v>327</v>
      </c>
      <c r="E65" s="9" t="s">
        <v>30</v>
      </c>
      <c r="F65" s="10" t="s">
        <v>31</v>
      </c>
      <c r="G65" s="10" t="s">
        <v>32</v>
      </c>
      <c r="H65" s="13"/>
      <c r="I65" s="10"/>
    </row>
    <row r="66" ht="42.75" customHeight="1">
      <c r="A66" s="10" t="s">
        <v>308</v>
      </c>
      <c r="B66" s="10">
        <v>62.0</v>
      </c>
      <c r="C66" s="9" t="s">
        <v>328</v>
      </c>
      <c r="D66" s="9" t="s">
        <v>329</v>
      </c>
      <c r="E66" s="9" t="s">
        <v>330</v>
      </c>
      <c r="F66" s="10" t="s">
        <v>31</v>
      </c>
      <c r="G66" s="10" t="s">
        <v>32</v>
      </c>
      <c r="H66" s="13"/>
      <c r="I66" s="10"/>
    </row>
    <row r="67" ht="42.75" customHeight="1">
      <c r="A67" s="10" t="s">
        <v>308</v>
      </c>
      <c r="B67" s="10">
        <v>63.0</v>
      </c>
      <c r="C67" s="9" t="s">
        <v>332</v>
      </c>
      <c r="D67" s="9" t="s">
        <v>333</v>
      </c>
      <c r="E67" s="9" t="s">
        <v>330</v>
      </c>
      <c r="F67" s="10" t="s">
        <v>31</v>
      </c>
      <c r="G67" s="10" t="s">
        <v>32</v>
      </c>
      <c r="H67" s="13"/>
      <c r="I67" s="10"/>
    </row>
    <row r="68" ht="30.0" customHeight="1">
      <c r="A68" s="10" t="s">
        <v>308</v>
      </c>
      <c r="B68" s="10">
        <v>64.0</v>
      </c>
      <c r="C68" s="9" t="s">
        <v>335</v>
      </c>
      <c r="D68" s="9" t="s">
        <v>336</v>
      </c>
      <c r="E68" s="9" t="s">
        <v>30</v>
      </c>
      <c r="F68" s="10" t="s">
        <v>31</v>
      </c>
      <c r="G68" s="10" t="s">
        <v>32</v>
      </c>
      <c r="H68" s="13"/>
      <c r="I68" s="10"/>
    </row>
    <row r="69" ht="42.75" customHeight="1">
      <c r="A69" s="10" t="s">
        <v>308</v>
      </c>
      <c r="B69" s="10">
        <v>65.0</v>
      </c>
      <c r="C69" s="9" t="s">
        <v>338</v>
      </c>
      <c r="D69" s="9" t="s">
        <v>339</v>
      </c>
      <c r="E69" s="9" t="s">
        <v>30</v>
      </c>
      <c r="F69" s="10" t="s">
        <v>31</v>
      </c>
      <c r="G69" s="10" t="s">
        <v>32</v>
      </c>
      <c r="H69" s="13"/>
      <c r="I69" s="10"/>
    </row>
    <row r="70" ht="42.75" customHeight="1">
      <c r="A70" s="10" t="s">
        <v>308</v>
      </c>
      <c r="B70" s="10">
        <v>66.0</v>
      </c>
      <c r="C70" s="9" t="s">
        <v>340</v>
      </c>
      <c r="D70" s="9" t="s">
        <v>341</v>
      </c>
      <c r="E70" s="9" t="s">
        <v>30</v>
      </c>
      <c r="F70" s="10" t="s">
        <v>31</v>
      </c>
      <c r="G70" s="10" t="s">
        <v>32</v>
      </c>
      <c r="H70" s="13"/>
      <c r="I70" s="10"/>
    </row>
    <row r="71" ht="30.0" customHeight="1">
      <c r="A71" s="10" t="s">
        <v>308</v>
      </c>
      <c r="B71" s="10">
        <v>67.0</v>
      </c>
      <c r="C71" s="9" t="s">
        <v>342</v>
      </c>
      <c r="D71" s="9" t="s">
        <v>343</v>
      </c>
      <c r="E71" s="9" t="s">
        <v>30</v>
      </c>
      <c r="F71" s="10" t="s">
        <v>31</v>
      </c>
      <c r="G71" s="10" t="s">
        <v>32</v>
      </c>
      <c r="H71" s="13"/>
      <c r="I71" s="10"/>
    </row>
    <row r="72" ht="30.0" customHeight="1">
      <c r="A72" s="10" t="s">
        <v>308</v>
      </c>
      <c r="B72" s="10">
        <v>68.0</v>
      </c>
      <c r="C72" s="9" t="s">
        <v>344</v>
      </c>
      <c r="D72" s="9" t="s">
        <v>345</v>
      </c>
      <c r="E72" s="9" t="s">
        <v>30</v>
      </c>
      <c r="F72" s="10" t="s">
        <v>31</v>
      </c>
      <c r="G72" s="10" t="s">
        <v>32</v>
      </c>
      <c r="H72" s="13"/>
      <c r="I72" s="10"/>
    </row>
    <row r="73" ht="30.0" customHeight="1">
      <c r="A73" s="10" t="s">
        <v>308</v>
      </c>
      <c r="B73" s="10">
        <v>69.0</v>
      </c>
      <c r="C73" s="9" t="s">
        <v>346</v>
      </c>
      <c r="D73" s="9" t="s">
        <v>347</v>
      </c>
      <c r="E73" s="9" t="s">
        <v>30</v>
      </c>
      <c r="F73" s="10" t="s">
        <v>31</v>
      </c>
      <c r="G73" s="10" t="s">
        <v>32</v>
      </c>
      <c r="H73" s="13"/>
      <c r="I73" s="10"/>
    </row>
    <row r="74" ht="30.0" customHeight="1">
      <c r="A74" s="10" t="s">
        <v>308</v>
      </c>
      <c r="B74" s="10">
        <v>70.0</v>
      </c>
      <c r="C74" s="9" t="s">
        <v>348</v>
      </c>
      <c r="D74" s="9" t="s">
        <v>349</v>
      </c>
      <c r="E74" s="9" t="s">
        <v>30</v>
      </c>
      <c r="F74" s="10" t="s">
        <v>31</v>
      </c>
      <c r="G74" s="10" t="s">
        <v>32</v>
      </c>
      <c r="H74" s="13"/>
      <c r="I74" s="10"/>
    </row>
    <row r="75" ht="30.0" customHeight="1">
      <c r="A75" s="10" t="s">
        <v>308</v>
      </c>
      <c r="B75" s="10">
        <v>71.0</v>
      </c>
      <c r="C75" s="9" t="s">
        <v>351</v>
      </c>
      <c r="D75" s="9" t="s">
        <v>352</v>
      </c>
      <c r="E75" s="9" t="s">
        <v>353</v>
      </c>
      <c r="F75" s="10" t="s">
        <v>31</v>
      </c>
      <c r="G75" s="10" t="s">
        <v>32</v>
      </c>
      <c r="H75" s="13"/>
      <c r="I75" s="10"/>
    </row>
    <row r="76" ht="42.75" customHeight="1">
      <c r="A76" s="10" t="s">
        <v>308</v>
      </c>
      <c r="B76" s="10">
        <v>72.0</v>
      </c>
      <c r="C76" s="9" t="s">
        <v>354</v>
      </c>
      <c r="D76" s="9" t="s">
        <v>355</v>
      </c>
      <c r="E76" s="9" t="s">
        <v>356</v>
      </c>
      <c r="F76" s="10" t="s">
        <v>31</v>
      </c>
      <c r="G76" s="10" t="s">
        <v>32</v>
      </c>
      <c r="H76" s="13"/>
      <c r="I76" s="10"/>
    </row>
    <row r="77" ht="133.5" customHeight="1">
      <c r="A77" s="10" t="s">
        <v>308</v>
      </c>
      <c r="B77" s="10">
        <v>73.0</v>
      </c>
      <c r="C77" s="9" t="s">
        <v>357</v>
      </c>
      <c r="D77" s="9" t="s">
        <v>358</v>
      </c>
      <c r="E77" s="9" t="s">
        <v>359</v>
      </c>
      <c r="F77" s="18" t="s">
        <v>168</v>
      </c>
      <c r="G77" s="10" t="s">
        <v>32</v>
      </c>
      <c r="H77" s="13"/>
      <c r="I77" s="10"/>
    </row>
    <row r="78" ht="42.75" customHeight="1">
      <c r="A78" s="10" t="s">
        <v>308</v>
      </c>
      <c r="B78" s="10">
        <v>74.0</v>
      </c>
      <c r="C78" s="9" t="s">
        <v>361</v>
      </c>
      <c r="D78" s="9" t="s">
        <v>362</v>
      </c>
      <c r="E78" s="9" t="s">
        <v>363</v>
      </c>
      <c r="F78" s="10" t="s">
        <v>31</v>
      </c>
      <c r="G78" s="10" t="s">
        <v>32</v>
      </c>
      <c r="H78" s="13"/>
      <c r="I78" s="10"/>
    </row>
    <row r="79" ht="30.0" customHeight="1">
      <c r="A79" s="10" t="s">
        <v>308</v>
      </c>
      <c r="B79" s="10">
        <v>75.0</v>
      </c>
      <c r="C79" s="9" t="s">
        <v>364</v>
      </c>
      <c r="D79" s="9" t="s">
        <v>366</v>
      </c>
      <c r="E79" s="9" t="s">
        <v>367</v>
      </c>
      <c r="F79" s="10" t="s">
        <v>31</v>
      </c>
      <c r="G79" s="10" t="s">
        <v>32</v>
      </c>
      <c r="H79" s="13"/>
      <c r="I79" s="10"/>
    </row>
    <row r="80" ht="42.75" customHeight="1">
      <c r="A80" s="10" t="s">
        <v>308</v>
      </c>
      <c r="B80" s="10">
        <v>76.0</v>
      </c>
      <c r="C80" s="9" t="s">
        <v>368</v>
      </c>
      <c r="D80" s="9" t="s">
        <v>370</v>
      </c>
      <c r="E80" s="9" t="s">
        <v>359</v>
      </c>
      <c r="F80" s="10" t="s">
        <v>31</v>
      </c>
      <c r="G80" s="10" t="s">
        <v>32</v>
      </c>
      <c r="H80" s="13"/>
      <c r="I80" s="10"/>
    </row>
    <row r="81" ht="30.0" customHeight="1">
      <c r="A81" s="10" t="s">
        <v>308</v>
      </c>
      <c r="B81" s="10">
        <v>77.0</v>
      </c>
      <c r="C81" s="9" t="s">
        <v>372</v>
      </c>
      <c r="D81" s="9" t="s">
        <v>373</v>
      </c>
      <c r="E81" s="9" t="s">
        <v>30</v>
      </c>
      <c r="F81" s="10" t="s">
        <v>31</v>
      </c>
      <c r="G81" s="10" t="s">
        <v>32</v>
      </c>
      <c r="H81" s="13"/>
      <c r="I81" s="22" t="str">
        <f>HYPERLINK("https://herramientas.ayudawp.com/security-check/","https://herramientas.ayudawp.com/security-check/")</f>
        <v>https://herramientas.ayudawp.com/security-check/</v>
      </c>
    </row>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autoFilter ref="$A$4:$I$81"/>
  <mergeCells count="1">
    <mergeCell ref="A2:I2"/>
  </mergeCells>
  <conditionalFormatting sqref="G5:G81">
    <cfRule type="cellIs" dxfId="0" priority="1" operator="equal">
      <formula>"Hecho"</formula>
    </cfRule>
  </conditionalFormatting>
  <conditionalFormatting sqref="G5:G81">
    <cfRule type="cellIs" dxfId="1" priority="2" operator="equal">
      <formula>"En marcha"</formula>
    </cfRule>
  </conditionalFormatting>
  <conditionalFormatting sqref="G5:G81">
    <cfRule type="cellIs" dxfId="2" priority="3" operator="equal">
      <formula>"No aplica"</formula>
    </cfRule>
  </conditionalFormatting>
  <conditionalFormatting sqref="G5:G81">
    <cfRule type="cellIs" dxfId="3" priority="4" operator="equal">
      <formula>"Mal"</formula>
    </cfRule>
  </conditionalFormatting>
  <conditionalFormatting sqref="G5:G81">
    <cfRule type="cellIs" dxfId="0" priority="5" operator="equal">
      <formula>"Bien"</formula>
    </cfRule>
  </conditionalFormatting>
  <conditionalFormatting sqref="G5:G81">
    <cfRule type="cellIs" dxfId="3" priority="6" operator="equal">
      <formula>"Sí"</formula>
    </cfRule>
  </conditionalFormatting>
  <dataValidations>
    <dataValidation type="list" allowBlank="1" sqref="G5:G81">
      <formula1>"Pendiente,En marcha,Hecho,No aplica"</formula1>
    </dataValidation>
  </dataValidations>
  <printOptions/>
  <pageMargins bottom="0.5" footer="0.0" header="0.0" left="0.4" right="0.4" top="0.5"/>
  <pageSetup fitToHeight="0" orientation="landscape"/>
  <drawing r:id="rId1"/>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fitToPage="1"/>
  </sheetPr>
  <sheetViews>
    <sheetView showGridLines="0" workbookViewId="0">
      <pane xSplit="1.0" ySplit="4.0" topLeftCell="B5" activePane="bottomRight" state="frozen"/>
      <selection activeCell="B1" sqref="B1" pane="topRight"/>
      <selection activeCell="A5" sqref="A5" pane="bottomLeft"/>
      <selection activeCell="B5" sqref="B5" pane="bottomRight"/>
    </sheetView>
  </sheetViews>
  <sheetFormatPr customHeight="1" defaultColWidth="14.43" defaultRowHeight="15.0"/>
  <cols>
    <col customWidth="1" min="1" max="1" width="24.0"/>
    <col customWidth="1" min="2" max="2" width="46.0"/>
    <col customWidth="1" min="3" max="3" width="54.0"/>
    <col customWidth="1" min="4" max="4" width="60.0"/>
    <col customWidth="1" min="5" max="5" width="11.0"/>
    <col customWidth="1" min="6" max="6" width="15.0"/>
    <col customWidth="1" min="7" max="7" width="28.0"/>
    <col customWidth="1" min="8" max="26" width="8.71"/>
  </cols>
  <sheetData>
    <row r="1">
      <c r="A1" s="1" t="s">
        <v>23</v>
      </c>
    </row>
    <row r="2">
      <c r="A2" s="3" t="s">
        <v>27</v>
      </c>
    </row>
    <row r="4" ht="30.0" customHeight="1">
      <c r="A4" s="5" t="s">
        <v>6</v>
      </c>
      <c r="B4" s="5" t="s">
        <v>13</v>
      </c>
      <c r="C4" s="5" t="s">
        <v>34</v>
      </c>
      <c r="D4" s="5" t="s">
        <v>37</v>
      </c>
      <c r="E4" s="5" t="s">
        <v>38</v>
      </c>
      <c r="F4" s="5" t="s">
        <v>39</v>
      </c>
      <c r="G4" s="5" t="s">
        <v>22</v>
      </c>
    </row>
    <row r="5" ht="55.5" customHeight="1">
      <c r="A5" s="7" t="s">
        <v>44</v>
      </c>
      <c r="B5" s="9" t="s">
        <v>49</v>
      </c>
      <c r="C5" s="9" t="s">
        <v>50</v>
      </c>
      <c r="D5" s="9" t="s">
        <v>52</v>
      </c>
      <c r="E5" s="10" t="s">
        <v>54</v>
      </c>
      <c r="F5" s="10" t="s">
        <v>70</v>
      </c>
      <c r="G5" s="10"/>
    </row>
    <row r="6" ht="30.0" customHeight="1">
      <c r="A6" s="7"/>
      <c r="B6" s="9" t="s">
        <v>74</v>
      </c>
      <c r="C6" s="9" t="s">
        <v>75</v>
      </c>
      <c r="D6" s="9" t="s">
        <v>78</v>
      </c>
      <c r="E6" s="10" t="s">
        <v>54</v>
      </c>
      <c r="F6" s="10" t="s">
        <v>70</v>
      </c>
      <c r="G6" s="10"/>
    </row>
    <row r="7" ht="30.0" customHeight="1">
      <c r="A7" s="7"/>
      <c r="B7" s="9" t="s">
        <v>84</v>
      </c>
      <c r="C7" s="9" t="s">
        <v>86</v>
      </c>
      <c r="D7" s="9" t="s">
        <v>87</v>
      </c>
      <c r="E7" s="10" t="s">
        <v>54</v>
      </c>
      <c r="F7" s="10" t="s">
        <v>70</v>
      </c>
      <c r="G7" s="10"/>
    </row>
    <row r="8" ht="30.0" customHeight="1">
      <c r="A8" s="7"/>
      <c r="B8" s="9" t="s">
        <v>89</v>
      </c>
      <c r="C8" s="9" t="s">
        <v>91</v>
      </c>
      <c r="D8" s="9" t="s">
        <v>92</v>
      </c>
      <c r="E8" s="10" t="s">
        <v>54</v>
      </c>
      <c r="F8" s="10" t="s">
        <v>70</v>
      </c>
      <c r="G8" s="10"/>
    </row>
    <row r="9" ht="30.0" customHeight="1">
      <c r="A9" s="7" t="s">
        <v>97</v>
      </c>
      <c r="B9" s="9" t="s">
        <v>100</v>
      </c>
      <c r="C9" s="9" t="s">
        <v>101</v>
      </c>
      <c r="D9" s="9" t="s">
        <v>104</v>
      </c>
      <c r="E9" s="10" t="s">
        <v>54</v>
      </c>
      <c r="F9" s="10" t="s">
        <v>70</v>
      </c>
      <c r="G9" s="10"/>
    </row>
    <row r="10" ht="42.75" customHeight="1">
      <c r="A10" s="7"/>
      <c r="B10" s="9" t="s">
        <v>112</v>
      </c>
      <c r="C10" s="9" t="s">
        <v>115</v>
      </c>
      <c r="D10" s="9" t="s">
        <v>117</v>
      </c>
      <c r="E10" s="10" t="s">
        <v>54</v>
      </c>
      <c r="F10" s="10" t="s">
        <v>70</v>
      </c>
      <c r="G10" s="10"/>
    </row>
    <row r="11" ht="30.0" customHeight="1">
      <c r="A11" s="7"/>
      <c r="B11" s="9" t="s">
        <v>122</v>
      </c>
      <c r="C11" s="9" t="s">
        <v>128</v>
      </c>
      <c r="D11" s="9" t="s">
        <v>131</v>
      </c>
      <c r="E11" s="10" t="s">
        <v>54</v>
      </c>
      <c r="F11" s="10" t="s">
        <v>70</v>
      </c>
      <c r="G11" s="10"/>
    </row>
    <row r="12" ht="42.75" customHeight="1">
      <c r="A12" s="7"/>
      <c r="B12" s="9" t="s">
        <v>135</v>
      </c>
      <c r="C12" s="9" t="s">
        <v>137</v>
      </c>
      <c r="D12" s="9" t="s">
        <v>140</v>
      </c>
      <c r="E12" s="10" t="s">
        <v>54</v>
      </c>
      <c r="F12" s="10" t="s">
        <v>70</v>
      </c>
      <c r="G12" s="10"/>
    </row>
    <row r="13" ht="42.75" customHeight="1">
      <c r="A13" s="7"/>
      <c r="B13" s="9" t="s">
        <v>144</v>
      </c>
      <c r="C13" s="9" t="s">
        <v>146</v>
      </c>
      <c r="D13" s="9" t="s">
        <v>148</v>
      </c>
      <c r="E13" s="10" t="s">
        <v>54</v>
      </c>
      <c r="F13" s="10" t="s">
        <v>70</v>
      </c>
      <c r="G13" s="10"/>
    </row>
    <row r="14" ht="30.0" customHeight="1">
      <c r="A14" s="7"/>
      <c r="B14" s="9" t="s">
        <v>151</v>
      </c>
      <c r="C14" s="9" t="s">
        <v>153</v>
      </c>
      <c r="D14" s="9" t="s">
        <v>155</v>
      </c>
      <c r="E14" s="10" t="s">
        <v>156</v>
      </c>
      <c r="F14" s="10" t="s">
        <v>70</v>
      </c>
      <c r="G14" s="10"/>
    </row>
    <row r="15" ht="30.0" customHeight="1">
      <c r="A15" s="7"/>
      <c r="B15" s="9" t="s">
        <v>158</v>
      </c>
      <c r="C15" s="9" t="s">
        <v>160</v>
      </c>
      <c r="D15" s="9" t="s">
        <v>161</v>
      </c>
      <c r="E15" s="10" t="s">
        <v>156</v>
      </c>
      <c r="F15" s="10" t="s">
        <v>70</v>
      </c>
      <c r="G15" s="10"/>
    </row>
    <row r="16" ht="42.75" customHeight="1">
      <c r="A16" s="7" t="s">
        <v>163</v>
      </c>
      <c r="B16" s="9" t="s">
        <v>165</v>
      </c>
      <c r="C16" s="9" t="s">
        <v>166</v>
      </c>
      <c r="D16" s="9" t="s">
        <v>167</v>
      </c>
      <c r="E16" s="10" t="s">
        <v>54</v>
      </c>
      <c r="F16" s="10" t="s">
        <v>70</v>
      </c>
      <c r="G16" s="10"/>
    </row>
    <row r="17" ht="30.0" customHeight="1">
      <c r="A17" s="7"/>
      <c r="B17" s="9" t="s">
        <v>169</v>
      </c>
      <c r="C17" s="9" t="s">
        <v>170</v>
      </c>
      <c r="D17" s="9" t="s">
        <v>171</v>
      </c>
      <c r="E17" s="10" t="s">
        <v>54</v>
      </c>
      <c r="F17" s="10" t="s">
        <v>70</v>
      </c>
      <c r="G17" s="10"/>
    </row>
    <row r="18" ht="30.0" customHeight="1">
      <c r="A18" s="7"/>
      <c r="B18" s="9" t="s">
        <v>173</v>
      </c>
      <c r="C18" s="9" t="s">
        <v>175</v>
      </c>
      <c r="D18" s="9" t="s">
        <v>177</v>
      </c>
      <c r="E18" s="10" t="s">
        <v>156</v>
      </c>
      <c r="F18" s="10" t="s">
        <v>70</v>
      </c>
      <c r="G18" s="10"/>
    </row>
    <row r="19" ht="42.75" customHeight="1">
      <c r="A19" s="7"/>
      <c r="B19" s="9" t="s">
        <v>179</v>
      </c>
      <c r="C19" s="9" t="s">
        <v>181</v>
      </c>
      <c r="D19" s="9" t="s">
        <v>182</v>
      </c>
      <c r="E19" s="10" t="s">
        <v>156</v>
      </c>
      <c r="F19" s="10" t="s">
        <v>70</v>
      </c>
      <c r="G19" s="10"/>
    </row>
    <row r="20" ht="42.75" customHeight="1">
      <c r="A20" s="7"/>
      <c r="B20" s="9" t="s">
        <v>185</v>
      </c>
      <c r="C20" s="9" t="s">
        <v>186</v>
      </c>
      <c r="D20" s="9" t="s">
        <v>188</v>
      </c>
      <c r="E20" s="10" t="s">
        <v>54</v>
      </c>
      <c r="F20" s="10" t="s">
        <v>70</v>
      </c>
      <c r="G20" s="10"/>
    </row>
    <row r="21" ht="30.0" customHeight="1">
      <c r="A21" s="7"/>
      <c r="B21" s="9" t="s">
        <v>190</v>
      </c>
      <c r="C21" s="9" t="s">
        <v>191</v>
      </c>
      <c r="D21" s="9" t="s">
        <v>193</v>
      </c>
      <c r="E21" s="10" t="s">
        <v>156</v>
      </c>
      <c r="F21" s="10" t="s">
        <v>70</v>
      </c>
      <c r="G21" s="10"/>
    </row>
    <row r="22" ht="30.0" customHeight="1">
      <c r="A22" s="7"/>
      <c r="B22" s="9" t="s">
        <v>196</v>
      </c>
      <c r="C22" s="9" t="s">
        <v>198</v>
      </c>
      <c r="D22" s="9" t="s">
        <v>200</v>
      </c>
      <c r="E22" s="10" t="s">
        <v>54</v>
      </c>
      <c r="F22" s="10" t="s">
        <v>70</v>
      </c>
      <c r="G22" s="10"/>
    </row>
    <row r="23" ht="42.75" customHeight="1">
      <c r="A23" s="7"/>
      <c r="B23" s="9" t="s">
        <v>201</v>
      </c>
      <c r="C23" s="9" t="s">
        <v>203</v>
      </c>
      <c r="D23" s="9" t="s">
        <v>205</v>
      </c>
      <c r="E23" s="10" t="s">
        <v>156</v>
      </c>
      <c r="F23" s="10" t="s">
        <v>70</v>
      </c>
      <c r="G23" s="10"/>
    </row>
    <row r="24" ht="30.0" customHeight="1">
      <c r="A24" s="7" t="s">
        <v>206</v>
      </c>
      <c r="B24" s="9" t="s">
        <v>208</v>
      </c>
      <c r="C24" s="9" t="s">
        <v>210</v>
      </c>
      <c r="D24" s="9" t="s">
        <v>211</v>
      </c>
      <c r="E24" s="10" t="s">
        <v>54</v>
      </c>
      <c r="F24" s="10" t="s">
        <v>70</v>
      </c>
      <c r="G24" s="10"/>
    </row>
    <row r="25" ht="30.0" customHeight="1">
      <c r="A25" s="7"/>
      <c r="B25" s="9" t="s">
        <v>214</v>
      </c>
      <c r="C25" s="9" t="s">
        <v>215</v>
      </c>
      <c r="D25" s="9" t="s">
        <v>216</v>
      </c>
      <c r="E25" s="10" t="s">
        <v>54</v>
      </c>
      <c r="F25" s="10" t="s">
        <v>70</v>
      </c>
      <c r="G25" s="10"/>
    </row>
    <row r="26" ht="30.0" customHeight="1">
      <c r="A26" s="7"/>
      <c r="B26" s="9" t="s">
        <v>219</v>
      </c>
      <c r="C26" s="9" t="s">
        <v>220</v>
      </c>
      <c r="D26" s="9" t="s">
        <v>221</v>
      </c>
      <c r="E26" s="10" t="s">
        <v>156</v>
      </c>
      <c r="F26" s="10" t="s">
        <v>70</v>
      </c>
      <c r="G26" s="10"/>
    </row>
    <row r="27" ht="42.75" customHeight="1">
      <c r="A27" s="7"/>
      <c r="B27" s="9" t="s">
        <v>222</v>
      </c>
      <c r="C27" s="9" t="s">
        <v>224</v>
      </c>
      <c r="D27" s="9" t="s">
        <v>226</v>
      </c>
      <c r="E27" s="10" t="s">
        <v>156</v>
      </c>
      <c r="F27" s="10" t="s">
        <v>70</v>
      </c>
      <c r="G27" s="10"/>
    </row>
    <row r="28" ht="42.75" customHeight="1">
      <c r="A28" s="7"/>
      <c r="B28" s="9" t="s">
        <v>227</v>
      </c>
      <c r="C28" s="9" t="s">
        <v>228</v>
      </c>
      <c r="D28" s="9" t="s">
        <v>230</v>
      </c>
      <c r="E28" s="10" t="s">
        <v>231</v>
      </c>
      <c r="F28" s="10" t="s">
        <v>70</v>
      </c>
      <c r="G28" s="10"/>
    </row>
    <row r="29" ht="42.75" customHeight="1">
      <c r="A29" s="7"/>
      <c r="B29" s="9" t="s">
        <v>234</v>
      </c>
      <c r="C29" s="9" t="s">
        <v>236</v>
      </c>
      <c r="D29" s="9" t="s">
        <v>238</v>
      </c>
      <c r="E29" s="10" t="s">
        <v>156</v>
      </c>
      <c r="F29" s="10" t="s">
        <v>70</v>
      </c>
      <c r="G29" s="10"/>
    </row>
    <row r="30" ht="42.75" customHeight="1">
      <c r="A30" s="7"/>
      <c r="B30" s="9" t="s">
        <v>241</v>
      </c>
      <c r="C30" s="9" t="s">
        <v>242</v>
      </c>
      <c r="D30" s="9" t="s">
        <v>243</v>
      </c>
      <c r="E30" s="10" t="s">
        <v>231</v>
      </c>
      <c r="F30" s="10" t="s">
        <v>70</v>
      </c>
      <c r="G30" s="10"/>
    </row>
    <row r="31" ht="42.75" customHeight="1">
      <c r="A31" s="7" t="s">
        <v>246</v>
      </c>
      <c r="B31" s="9" t="s">
        <v>248</v>
      </c>
      <c r="C31" s="9" t="s">
        <v>249</v>
      </c>
      <c r="D31" s="9" t="s">
        <v>250</v>
      </c>
      <c r="E31" s="10" t="s">
        <v>54</v>
      </c>
      <c r="F31" s="10" t="s">
        <v>70</v>
      </c>
      <c r="G31" s="10"/>
    </row>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autoFilter ref="$A$4:$G$31"/>
  <mergeCells count="1">
    <mergeCell ref="A2:G2"/>
  </mergeCells>
  <conditionalFormatting sqref="F5:F31">
    <cfRule type="cellIs" dxfId="0" priority="1" operator="equal">
      <formula>"Hecho"</formula>
    </cfRule>
  </conditionalFormatting>
  <conditionalFormatting sqref="F5:F31">
    <cfRule type="cellIs" dxfId="1" priority="2" operator="equal">
      <formula>"En marcha"</formula>
    </cfRule>
  </conditionalFormatting>
  <conditionalFormatting sqref="F5:F31">
    <cfRule type="cellIs" dxfId="2" priority="3" operator="equal">
      <formula>"No aplica"</formula>
    </cfRule>
  </conditionalFormatting>
  <conditionalFormatting sqref="F5:F31">
    <cfRule type="cellIs" dxfId="3" priority="4" operator="equal">
      <formula>"Mal"</formula>
    </cfRule>
  </conditionalFormatting>
  <conditionalFormatting sqref="F5:F31">
    <cfRule type="cellIs" dxfId="0" priority="5" operator="equal">
      <formula>"Bien"</formula>
    </cfRule>
  </conditionalFormatting>
  <conditionalFormatting sqref="F5:F31">
    <cfRule type="cellIs" dxfId="3" priority="6" operator="equal">
      <formula>"Sí"</formula>
    </cfRule>
  </conditionalFormatting>
  <dataValidations>
    <dataValidation type="list" allowBlank="1" sqref="F5:F31">
      <formula1>"Sin comprobar,Bien,Mal,No lo sé"</formula1>
    </dataValidation>
  </dataValidations>
  <printOptions/>
  <pageMargins bottom="0.5" footer="0.0" header="0.0" left="0.4" right="0.4" top="0.5"/>
  <pageSetup fitToHeight="0" orientation="landscape"/>
  <drawing r:id="rId1"/>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fitToPage="1"/>
  </sheetPr>
  <sheetViews>
    <sheetView showGridLines="0" workbookViewId="0">
      <pane ySplit="4.0" topLeftCell="A5" activePane="bottomLeft" state="frozen"/>
      <selection activeCell="B6" sqref="B6" pane="bottomLeft"/>
    </sheetView>
  </sheetViews>
  <sheetFormatPr customHeight="1" defaultColWidth="14.43" defaultRowHeight="15.0"/>
  <cols>
    <col customWidth="1" min="1" max="1" width="34.0"/>
    <col customWidth="1" min="2" max="2" width="62.0"/>
    <col customWidth="1" min="3" max="3" width="16.0"/>
    <col customWidth="1" min="4" max="4" width="12.0"/>
    <col customWidth="1" min="5" max="5" width="15.0"/>
    <col customWidth="1" min="6" max="6" width="12.0"/>
    <col customWidth="1" min="7" max="7" width="30.0"/>
    <col customWidth="1" min="8" max="26" width="8.71"/>
  </cols>
  <sheetData>
    <row r="1">
      <c r="A1" s="1" t="s">
        <v>369</v>
      </c>
    </row>
    <row r="2">
      <c r="A2" s="3" t="s">
        <v>371</v>
      </c>
    </row>
    <row r="4" ht="30.0" customHeight="1">
      <c r="A4" s="5" t="s">
        <v>375</v>
      </c>
      <c r="B4" s="5" t="s">
        <v>376</v>
      </c>
      <c r="C4" s="5" t="s">
        <v>377</v>
      </c>
      <c r="D4" s="5" t="s">
        <v>378</v>
      </c>
      <c r="E4" s="5" t="s">
        <v>39</v>
      </c>
      <c r="F4" s="5" t="s">
        <v>21</v>
      </c>
      <c r="G4" s="5" t="s">
        <v>22</v>
      </c>
    </row>
    <row r="5" ht="30.0" customHeight="1">
      <c r="A5" s="10" t="s">
        <v>380</v>
      </c>
      <c r="B5" s="9" t="s">
        <v>381</v>
      </c>
      <c r="C5" s="10" t="s">
        <v>382</v>
      </c>
      <c r="D5" s="22" t="str">
        <f>HYPERLINK("https://herramientas.ayudawp.com/security-check/","Abrir")</f>
        <v>Abrir</v>
      </c>
      <c r="E5" s="10" t="s">
        <v>70</v>
      </c>
      <c r="F5" s="13"/>
      <c r="G5" s="9" t="s">
        <v>383</v>
      </c>
    </row>
    <row r="6" ht="30.0" customHeight="1">
      <c r="A6" s="10" t="s">
        <v>384</v>
      </c>
      <c r="B6" s="9" t="s">
        <v>385</v>
      </c>
      <c r="C6" s="10" t="s">
        <v>386</v>
      </c>
      <c r="D6" s="22" t="str">
        <f>HYPERLINK("https://herramientas.ayudawp.com/security-headers/","Abrir")</f>
        <v>Abrir</v>
      </c>
      <c r="E6" s="10" t="s">
        <v>70</v>
      </c>
      <c r="F6" s="13"/>
      <c r="G6" s="9" t="s">
        <v>387</v>
      </c>
    </row>
    <row r="7" ht="30.0" customHeight="1">
      <c r="A7" s="10" t="s">
        <v>388</v>
      </c>
      <c r="B7" s="9" t="s">
        <v>389</v>
      </c>
      <c r="C7" s="10" t="s">
        <v>390</v>
      </c>
      <c r="D7" s="22" t="str">
        <f>HYPERLINK("https://herramientas.ayudawp.com/theme-audit/","Abrir")</f>
        <v>Abrir</v>
      </c>
      <c r="E7" s="10" t="s">
        <v>70</v>
      </c>
      <c r="F7" s="13"/>
      <c r="G7" s="9" t="s">
        <v>387</v>
      </c>
    </row>
    <row r="8" ht="30.0" customHeight="1">
      <c r="A8" s="10" t="s">
        <v>391</v>
      </c>
      <c r="B8" s="9" t="s">
        <v>392</v>
      </c>
      <c r="C8" s="10" t="s">
        <v>386</v>
      </c>
      <c r="D8" s="22" t="str">
        <f>HYPERLINK("https://herramientas.ayudawp.com/ai-visibility/","Abrir")</f>
        <v>Abrir</v>
      </c>
      <c r="E8" s="10" t="s">
        <v>70</v>
      </c>
      <c r="F8" s="13"/>
      <c r="G8" s="9" t="s">
        <v>387</v>
      </c>
    </row>
    <row r="9" ht="30.0" customHeight="1">
      <c r="A9" s="10" t="s">
        <v>393</v>
      </c>
      <c r="B9" s="9" t="s">
        <v>394</v>
      </c>
      <c r="C9" s="10" t="s">
        <v>382</v>
      </c>
      <c r="D9" s="22" t="str">
        <f>HYPERLINK("https://herramientas.ayudawp.com/crawl-limit/","Abrir")</f>
        <v>Abrir</v>
      </c>
      <c r="E9" s="10" t="s">
        <v>70</v>
      </c>
      <c r="F9" s="13"/>
      <c r="G9" s="9" t="s">
        <v>387</v>
      </c>
    </row>
    <row r="10" ht="30.0" customHeight="1">
      <c r="A10" s="10" t="s">
        <v>395</v>
      </c>
      <c r="B10" s="9" t="s">
        <v>396</v>
      </c>
      <c r="C10" s="10" t="s">
        <v>386</v>
      </c>
      <c r="D10" s="22" t="str">
        <f>HYPERLINK("https://herramientas.ayudawp.com/auditoria-seo/","Abrir")</f>
        <v>Abrir</v>
      </c>
      <c r="E10" s="10" t="s">
        <v>70</v>
      </c>
      <c r="F10" s="13"/>
      <c r="G10" s="9" t="s">
        <v>387</v>
      </c>
    </row>
    <row r="11" ht="30.0" customHeight="1">
      <c r="A11" s="10" t="s">
        <v>397</v>
      </c>
      <c r="B11" s="9" t="s">
        <v>398</v>
      </c>
      <c r="C11" s="10" t="s">
        <v>382</v>
      </c>
      <c r="D11" s="22" t="str">
        <f>IF(Portada!$C$6="","Escribe tu dominio en la portada",HYPERLINK(SUBSTITUTE("https://sitecheck.sucuri.net/results/{dominio}","{dominio}",Portada!$C$6),"Abrir"))</f>
        <v>Abrir</v>
      </c>
      <c r="E11" s="10" t="s">
        <v>70</v>
      </c>
      <c r="F11" s="13"/>
      <c r="G11" s="9" t="s">
        <v>399</v>
      </c>
    </row>
    <row r="12" ht="16.5" customHeight="1">
      <c r="A12" s="10" t="s">
        <v>400</v>
      </c>
      <c r="B12" s="9" t="s">
        <v>401</v>
      </c>
      <c r="C12" s="10" t="s">
        <v>382</v>
      </c>
      <c r="D12" s="22" t="str">
        <f>IF(Portada!$C$6="","Escribe tu dominio en la portada",HYPERLINK(SUBSTITUTE("https://www.virustotal.com/gui/domain/{dominio}","{dominio}",Portada!$C$6),"Abrir"))</f>
        <v>Abrir</v>
      </c>
      <c r="E12" s="10" t="s">
        <v>70</v>
      </c>
      <c r="F12" s="13"/>
      <c r="G12" s="9" t="s">
        <v>399</v>
      </c>
    </row>
    <row r="13" ht="16.5" customHeight="1">
      <c r="A13" s="10" t="s">
        <v>410</v>
      </c>
      <c r="B13" s="9" t="s">
        <v>411</v>
      </c>
      <c r="C13" s="10" t="s">
        <v>382</v>
      </c>
      <c r="D13" s="22" t="str">
        <f>IF(Portada!$C$6="","Escribe tu dominio en la portada",HYPERLINK(SUBSTITUTE("https://transparencyreport.google.com/safe-browsing/search?url={dominio}","{dominio}",Portada!$C$6),"Abrir"))</f>
        <v>Abrir</v>
      </c>
      <c r="E13" s="10" t="s">
        <v>70</v>
      </c>
      <c r="F13" s="13"/>
      <c r="G13" s="9" t="s">
        <v>399</v>
      </c>
    </row>
    <row r="14" ht="30.0" customHeight="1">
      <c r="A14" s="10" t="s">
        <v>412</v>
      </c>
      <c r="B14" s="9" t="s">
        <v>413</v>
      </c>
      <c r="C14" s="10" t="s">
        <v>382</v>
      </c>
      <c r="D14" s="22" t="str">
        <f>IF(Portada!$C$6="","Escribe tu dominio en la portada",HYPERLINK(SUBSTITUTE("https://safeweb.norton.com/report/show?url={dominio}","{dominio}",Portada!$C$6),"Abrir"))</f>
        <v>Abrir</v>
      </c>
      <c r="E14" s="10" t="s">
        <v>70</v>
      </c>
      <c r="F14" s="13"/>
      <c r="G14" s="9" t="s">
        <v>399</v>
      </c>
    </row>
    <row r="15" ht="30.0" customHeight="1">
      <c r="A15" s="10" t="s">
        <v>416</v>
      </c>
      <c r="B15" s="9" t="s">
        <v>417</v>
      </c>
      <c r="C15" s="10" t="s">
        <v>382</v>
      </c>
      <c r="D15" s="22" t="str">
        <f>IF(Portada!$C$6="","Escribe tu dominio en la portada",HYPERLINK(SUBSTITUTE("https://quttera.com/sitescan/{dominio}","{dominio}",Portada!$C$6),"Abrir"))</f>
        <v>Abrir</v>
      </c>
      <c r="E15" s="10" t="s">
        <v>70</v>
      </c>
      <c r="F15" s="13"/>
      <c r="G15" s="9" t="s">
        <v>399</v>
      </c>
    </row>
    <row r="16" ht="16.5" customHeight="1">
      <c r="A16" s="10" t="s">
        <v>434</v>
      </c>
      <c r="B16" s="9" t="s">
        <v>435</v>
      </c>
      <c r="C16" s="10" t="s">
        <v>382</v>
      </c>
      <c r="D16" s="22" t="str">
        <f>IF(Portada!$C$6="","Escribe tu dominio en la portada",HYPERLINK(SUBSTITUTE("https://www.urlvoid.com/scan/{dominio}/","{dominio}",Portada!$C$6),"Abrir"))</f>
        <v>Abrir</v>
      </c>
      <c r="E16" s="10" t="s">
        <v>70</v>
      </c>
      <c r="F16" s="13"/>
      <c r="G16" s="9" t="s">
        <v>399</v>
      </c>
    </row>
    <row r="17" ht="30.0" customHeight="1">
      <c r="A17" s="10" t="s">
        <v>458</v>
      </c>
      <c r="B17" s="9" t="s">
        <v>460</v>
      </c>
      <c r="C17" s="10" t="s">
        <v>382</v>
      </c>
      <c r="D17" s="22" t="str">
        <f>IF(Portada!$C$6="","Escribe tu dominio en la portada",HYPERLINK(SUBSTITUTE("https://check.spamhaus.org/results/?query={dominio}","{dominio}",Portada!$C$6),"Abrir"))</f>
        <v>Abrir</v>
      </c>
      <c r="E17" s="10" t="s">
        <v>70</v>
      </c>
      <c r="F17" s="13"/>
      <c r="G17" s="9" t="s">
        <v>399</v>
      </c>
    </row>
    <row r="18" ht="16.5" customHeight="1">
      <c r="A18" s="10" t="s">
        <v>472</v>
      </c>
      <c r="B18" s="9" t="s">
        <v>473</v>
      </c>
      <c r="C18" s="10" t="s">
        <v>382</v>
      </c>
      <c r="D18" s="22" t="str">
        <f>IF(Portada!$C$6="","Escribe tu dominio en la portada",HYPERLINK(SUBSTITUTE("https://mxtoolbox.com/SuperTool.aspx?action=blacklist%3a{dominio}","{dominio}",Portada!$C$6),"Abrir"))</f>
        <v>Abrir</v>
      </c>
      <c r="E18" s="10" t="s">
        <v>70</v>
      </c>
      <c r="F18" s="13"/>
      <c r="G18" s="9" t="s">
        <v>399</v>
      </c>
    </row>
    <row r="19" ht="16.5" customHeight="1">
      <c r="A19" s="10" t="s">
        <v>476</v>
      </c>
      <c r="B19" s="9" t="s">
        <v>477</v>
      </c>
      <c r="C19" s="10" t="s">
        <v>382</v>
      </c>
      <c r="D19" s="22" t="str">
        <f>IF(Portada!$C$6="","Escribe tu dominio en la portada",HYPERLINK(SUBSTITUTE("https://www.google.com/search?q=site%3A{dominio}","{dominio}",Portada!$C$6),"Abrir"))</f>
        <v>Abrir</v>
      </c>
      <c r="E19" s="10" t="s">
        <v>70</v>
      </c>
      <c r="F19" s="13"/>
      <c r="G19" s="9" t="s">
        <v>399</v>
      </c>
    </row>
    <row r="20" ht="30.0" customHeight="1">
      <c r="A20" s="10" t="s">
        <v>482</v>
      </c>
      <c r="B20" s="9" t="s">
        <v>483</v>
      </c>
      <c r="C20" s="10" t="s">
        <v>382</v>
      </c>
      <c r="D20" s="22" t="str">
        <f>IF(Portada!$C$6="","Escribe tu dominio en la portada",HYPERLINK(SUBSTITUTE("https://www.google.com/search?q=site%3A{dominio}+%28viagra+OR+casino+OR+cialis+OR+replica+OR+payday%29","{dominio}",Portada!$C$6),"Abrir"))</f>
        <v>Abrir</v>
      </c>
      <c r="E20" s="10" t="s">
        <v>70</v>
      </c>
      <c r="F20" s="13"/>
      <c r="G20" s="9" t="s">
        <v>399</v>
      </c>
    </row>
    <row r="21" ht="30.0" customHeight="1">
      <c r="A21" s="10" t="s">
        <v>485</v>
      </c>
      <c r="B21" s="9" t="s">
        <v>486</v>
      </c>
      <c r="C21" s="10" t="s">
        <v>386</v>
      </c>
      <c r="D21" s="22" t="str">
        <f>IF(Portada!$C$6="","Escribe tu dominio en la portada",HYPERLINK(SUBSTITUTE("https://www.ssllabs.com/ssltest/analyze.html?d={dominio}","{dominio}",Portada!$C$6),"Abrir"))</f>
        <v>Abrir</v>
      </c>
      <c r="E21" s="10" t="s">
        <v>70</v>
      </c>
      <c r="F21" s="13"/>
      <c r="G21" s="9"/>
    </row>
    <row r="22" ht="16.5" customHeight="1">
      <c r="A22" s="10" t="s">
        <v>497</v>
      </c>
      <c r="B22" s="9" t="s">
        <v>498</v>
      </c>
      <c r="C22" s="10" t="s">
        <v>386</v>
      </c>
      <c r="D22" s="22" t="str">
        <f>IF(Portada!$C$6="","Escribe tu dominio en la portada",HYPERLINK(SUBSTITUTE("https://securityheaders.com/?q={dominio}","{dominio}",Portada!$C$6),"Abrir"))</f>
        <v>Abrir</v>
      </c>
      <c r="E22" s="10" t="s">
        <v>70</v>
      </c>
      <c r="F22" s="13"/>
      <c r="G22" s="9"/>
    </row>
    <row r="23" ht="30.0" customHeight="1">
      <c r="A23" s="10" t="s">
        <v>500</v>
      </c>
      <c r="B23" s="9" t="s">
        <v>501</v>
      </c>
      <c r="C23" s="10" t="s">
        <v>390</v>
      </c>
      <c r="D23" s="22" t="str">
        <f>IF(Portada!$C$6="","Escribe tu dominio en la portada",HYPERLINK(SUBSTITUTE("https://crt.sh/?q=%25.{dominio}","{dominio}",Portada!$C$6),"Abrir"))</f>
        <v>Abrir</v>
      </c>
      <c r="E23" s="10" t="s">
        <v>70</v>
      </c>
      <c r="F23" s="13"/>
      <c r="G23" s="9"/>
    </row>
    <row r="24" ht="30.0" customHeight="1">
      <c r="A24" s="10" t="s">
        <v>508</v>
      </c>
      <c r="B24" s="9" t="s">
        <v>509</v>
      </c>
      <c r="C24" s="10" t="s">
        <v>390</v>
      </c>
      <c r="D24" s="22" t="str">
        <f>IF(Portada!$C$6="","Escribe tu dominio en la portada",HYPERLINK(SUBSTITUTE("https://web.archive.org/web/*/{dominio}","{dominio}",Portada!$C$6),"Abrir"))</f>
        <v>Abrir</v>
      </c>
      <c r="E24" s="10" t="s">
        <v>70</v>
      </c>
      <c r="F24" s="13"/>
      <c r="G24" s="9"/>
    </row>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autoFilter ref="$A$4:$G$24"/>
  <mergeCells count="1">
    <mergeCell ref="A2:G2"/>
  </mergeCells>
  <conditionalFormatting sqref="E5:E24">
    <cfRule type="cellIs" dxfId="0" priority="1" operator="equal">
      <formula>"Hecho"</formula>
    </cfRule>
  </conditionalFormatting>
  <conditionalFormatting sqref="E5:E24">
    <cfRule type="cellIs" dxfId="1" priority="2" operator="equal">
      <formula>"En marcha"</formula>
    </cfRule>
  </conditionalFormatting>
  <conditionalFormatting sqref="E5:E24">
    <cfRule type="cellIs" dxfId="2" priority="3" operator="equal">
      <formula>"No aplica"</formula>
    </cfRule>
  </conditionalFormatting>
  <conditionalFormatting sqref="E5:E24">
    <cfRule type="cellIs" dxfId="3" priority="4" operator="equal">
      <formula>"Mal"</formula>
    </cfRule>
  </conditionalFormatting>
  <conditionalFormatting sqref="E5:E24">
    <cfRule type="cellIs" dxfId="0" priority="5" operator="equal">
      <formula>"Bien"</formula>
    </cfRule>
  </conditionalFormatting>
  <conditionalFormatting sqref="E5:E24">
    <cfRule type="cellIs" dxfId="3" priority="6" operator="equal">
      <formula>"Sí"</formula>
    </cfRule>
  </conditionalFormatting>
  <dataValidations>
    <dataValidation type="list" allowBlank="1" sqref="E5:E24">
      <formula1>"Sin comprobar,Bien,Mal,No lo sé"</formula1>
    </dataValidation>
  </dataValidations>
  <printOptions/>
  <pageMargins bottom="0.5" footer="0.0" header="0.0" left="0.4" right="0.4" top="0.5"/>
  <pageSetup fitToHeight="0" orientation="landscape"/>
  <drawing r:id="rId1"/>
</worksheet>
</file>

<file path=xl/worksheets/sheet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fitToPage="1"/>
  </sheetPr>
  <sheetViews>
    <sheetView showGridLines="0" workbookViewId="0">
      <pane ySplit="4.0" topLeftCell="A5" activePane="bottomLeft" state="frozen"/>
      <selection activeCell="B6" sqref="B6" pane="bottomLeft"/>
    </sheetView>
  </sheetViews>
  <sheetFormatPr customHeight="1" defaultColWidth="14.43" defaultRowHeight="15.0"/>
  <cols>
    <col customWidth="1" min="1" max="1" width="30.0"/>
    <col customWidth="1" min="2" max="2" width="56.0"/>
    <col customWidth="1" min="3" max="4" width="12.0"/>
    <col customWidth="1" min="5" max="5" width="62.0"/>
    <col customWidth="1" min="6" max="6" width="15.0"/>
    <col customWidth="1" min="7" max="7" width="12.0"/>
    <col customWidth="1" min="8" max="26" width="8.71"/>
  </cols>
  <sheetData>
    <row r="1">
      <c r="A1" s="1" t="s">
        <v>402</v>
      </c>
    </row>
    <row r="2">
      <c r="A2" s="3" t="s">
        <v>403</v>
      </c>
    </row>
    <row r="4" ht="30.0" customHeight="1">
      <c r="A4" s="5" t="s">
        <v>375</v>
      </c>
      <c r="B4" s="5" t="s">
        <v>404</v>
      </c>
      <c r="C4" s="5" t="s">
        <v>405</v>
      </c>
      <c r="D4" s="5" t="s">
        <v>406</v>
      </c>
      <c r="E4" s="5" t="s">
        <v>407</v>
      </c>
      <c r="F4" s="5" t="s">
        <v>20</v>
      </c>
      <c r="G4" s="5" t="s">
        <v>21</v>
      </c>
    </row>
    <row r="5" ht="42.75" customHeight="1">
      <c r="A5" s="10" t="s">
        <v>408</v>
      </c>
      <c r="B5" s="9" t="s">
        <v>409</v>
      </c>
      <c r="C5" s="22" t="str">
        <f>IF(Portada!$C$6="","Escribe tu dominio en la portada",HYPERLINK(SUBSTITUTE("https://transparencyreport.google.com/safe-browsing/search?url={dominio}","{dominio}",Portada!$C$6),"Mirar"))</f>
        <v>Mirar</v>
      </c>
      <c r="D5" s="22" t="str">
        <f>HYPERLINK("https://search.google.com/search-console/security-issues","Reclamar")</f>
        <v>Reclamar</v>
      </c>
      <c r="E5" s="9" t="s">
        <v>425</v>
      </c>
      <c r="F5" s="10" t="s">
        <v>32</v>
      </c>
      <c r="G5" s="13"/>
    </row>
    <row r="6" ht="42.75" customHeight="1">
      <c r="A6" s="10" t="s">
        <v>428</v>
      </c>
      <c r="B6" s="9" t="s">
        <v>429</v>
      </c>
      <c r="C6" s="22" t="str">
        <f>IF(Portada!$C$6="","Escribe tu dominio en la portada",HYPERLINK(SUBSTITUTE("https://check.spamhaus.org/results/?query={dominio}","{dominio}",Portada!$C$6),"Mirar"))</f>
        <v>Mirar</v>
      </c>
      <c r="D6" s="22" t="str">
        <f>HYPERLINK("https://check.spamhaus.org/","Reclamar")</f>
        <v>Reclamar</v>
      </c>
      <c r="E6" s="9" t="s">
        <v>470</v>
      </c>
      <c r="F6" s="10" t="s">
        <v>32</v>
      </c>
      <c r="G6" s="13"/>
    </row>
    <row r="7" ht="42.75" customHeight="1">
      <c r="A7" s="10" t="s">
        <v>61</v>
      </c>
      <c r="B7" s="9" t="s">
        <v>471</v>
      </c>
      <c r="C7" s="22" t="str">
        <f>HYPERLINK("https://search.google.com/search-console/security-issues","Mirar")</f>
        <v>Mirar</v>
      </c>
      <c r="D7" s="22" t="str">
        <f>HYPERLINK("https://search.google.com/search-console/security-issues","Reclamar")</f>
        <v>Reclamar</v>
      </c>
      <c r="E7" s="9" t="s">
        <v>474</v>
      </c>
      <c r="F7" s="10" t="s">
        <v>32</v>
      </c>
      <c r="G7" s="13"/>
    </row>
    <row r="8" ht="30.0" customHeight="1">
      <c r="A8" s="10" t="s">
        <v>64</v>
      </c>
      <c r="B8" s="9" t="s">
        <v>475</v>
      </c>
      <c r="C8" s="22" t="str">
        <f>HYPERLINK("https://www.bing.com/webmasters/","Mirar")</f>
        <v>Mirar</v>
      </c>
      <c r="D8" s="22" t="str">
        <f>HYPERLINK("https://www.bing.com/webmasters/","Reclamar")</f>
        <v>Reclamar</v>
      </c>
      <c r="E8" s="9" t="s">
        <v>478</v>
      </c>
      <c r="F8" s="10" t="s">
        <v>32</v>
      </c>
      <c r="G8" s="13"/>
    </row>
    <row r="9" ht="42.75" customHeight="1">
      <c r="A9" s="10" t="s">
        <v>397</v>
      </c>
      <c r="B9" s="9" t="s">
        <v>479</v>
      </c>
      <c r="C9" s="31" t="s">
        <v>480</v>
      </c>
      <c r="D9" s="22" t="str">
        <f>HYPERLINK("https://sitecheck.sucuri.net/","Reclamar")</f>
        <v>Reclamar</v>
      </c>
      <c r="E9" s="9" t="s">
        <v>481</v>
      </c>
      <c r="F9" s="10" t="s">
        <v>32</v>
      </c>
      <c r="G9" s="13"/>
    </row>
    <row r="10" ht="30.0" customHeight="1">
      <c r="A10" s="10" t="s">
        <v>400</v>
      </c>
      <c r="B10" s="9" t="s">
        <v>484</v>
      </c>
      <c r="C10" s="31" t="s">
        <v>480</v>
      </c>
      <c r="D10" s="22" t="str">
        <f>HYPERLINK("https://support.virustotal.com/hc/en-us/articles/115002146549-False-positives","Reclamar")</f>
        <v>Reclamar</v>
      </c>
      <c r="E10" s="9" t="s">
        <v>487</v>
      </c>
      <c r="F10" s="10" t="s">
        <v>32</v>
      </c>
      <c r="G10" s="13"/>
    </row>
    <row r="11" ht="30.0" customHeight="1">
      <c r="A11" s="10" t="s">
        <v>412</v>
      </c>
      <c r="B11" s="9" t="s">
        <v>488</v>
      </c>
      <c r="C11" s="31" t="s">
        <v>480</v>
      </c>
      <c r="D11" s="22" t="str">
        <f>HYPERLINK("https://safeweb.norton.com/help/site_owners","Reclamar")</f>
        <v>Reclamar</v>
      </c>
      <c r="E11" s="9" t="s">
        <v>489</v>
      </c>
      <c r="F11" s="10" t="s">
        <v>32</v>
      </c>
      <c r="G11" s="13"/>
    </row>
    <row r="12" ht="30.0" customHeight="1">
      <c r="A12" s="10" t="s">
        <v>490</v>
      </c>
      <c r="B12" s="9" t="s">
        <v>491</v>
      </c>
      <c r="C12" s="31" t="s">
        <v>492</v>
      </c>
      <c r="D12" s="10"/>
      <c r="E12" s="9" t="s">
        <v>493</v>
      </c>
      <c r="F12" s="10" t="s">
        <v>32</v>
      </c>
      <c r="G12" s="13"/>
    </row>
    <row r="13" ht="42.75" customHeight="1">
      <c r="A13" s="10" t="s">
        <v>77</v>
      </c>
      <c r="B13" s="9" t="s">
        <v>494</v>
      </c>
      <c r="C13" s="31" t="s">
        <v>495</v>
      </c>
      <c r="D13" s="10"/>
      <c r="E13" s="9" t="s">
        <v>496</v>
      </c>
      <c r="F13" s="10" t="s">
        <v>32</v>
      </c>
      <c r="G13" s="13"/>
    </row>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autoFilter ref="$A$4:$G$13"/>
  <mergeCells count="1">
    <mergeCell ref="A2:G2"/>
  </mergeCells>
  <conditionalFormatting sqref="F5:F13">
    <cfRule type="cellIs" dxfId="0" priority="1" operator="equal">
      <formula>"Hecho"</formula>
    </cfRule>
  </conditionalFormatting>
  <conditionalFormatting sqref="F5:F13">
    <cfRule type="cellIs" dxfId="1" priority="2" operator="equal">
      <formula>"En marcha"</formula>
    </cfRule>
  </conditionalFormatting>
  <conditionalFormatting sqref="F5:F13">
    <cfRule type="cellIs" dxfId="2" priority="3" operator="equal">
      <formula>"No aplica"</formula>
    </cfRule>
  </conditionalFormatting>
  <conditionalFormatting sqref="F5:F13">
    <cfRule type="cellIs" dxfId="3" priority="4" operator="equal">
      <formula>"Mal"</formula>
    </cfRule>
  </conditionalFormatting>
  <conditionalFormatting sqref="F5:F13">
    <cfRule type="cellIs" dxfId="0" priority="5" operator="equal">
      <formula>"Bien"</formula>
    </cfRule>
  </conditionalFormatting>
  <conditionalFormatting sqref="F5:F13">
    <cfRule type="cellIs" dxfId="3" priority="6" operator="equal">
      <formula>"Sí"</formula>
    </cfRule>
  </conditionalFormatting>
  <dataValidations>
    <dataValidation type="list" allowBlank="1" sqref="F5:F13">
      <formula1>"Pendiente,En marcha,Hecho,No aplica"</formula1>
    </dataValidation>
  </dataValidations>
  <printOptions/>
  <pageMargins bottom="0.5" footer="0.0" header="0.0" left="0.4" right="0.4" top="0.5"/>
  <pageSetup fitToHeight="0" orientation="landscape"/>
  <drawing r:id="rId1"/>
</worksheet>
</file>

<file path=xl/worksheets/sheet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fitToPage="1"/>
  </sheetPr>
  <sheetViews>
    <sheetView showGridLines="0" workbookViewId="0">
      <pane ySplit="5.0" topLeftCell="A6" activePane="bottomLeft" state="frozen"/>
      <selection activeCell="B7" sqref="B7" pane="bottomLeft"/>
    </sheetView>
  </sheetViews>
  <sheetFormatPr customHeight="1" defaultColWidth="14.43" defaultRowHeight="15.0"/>
  <cols>
    <col customWidth="1" min="1" max="1" width="46.0"/>
    <col customWidth="1" min="2" max="2" width="62.0"/>
    <col customWidth="1" min="3" max="3" width="11.0"/>
    <col customWidth="1" min="4" max="4" width="15.0"/>
    <col customWidth="1" min="5" max="5" width="40.0"/>
    <col customWidth="1" min="6" max="26" width="8.71"/>
  </cols>
  <sheetData>
    <row r="1">
      <c r="A1" s="1" t="s">
        <v>414</v>
      </c>
    </row>
    <row r="2" ht="27.75" customHeight="1">
      <c r="A2" s="28" t="s">
        <v>415</v>
      </c>
    </row>
    <row r="3" ht="25.5" customHeight="1">
      <c r="A3" s="29" t="s">
        <v>418</v>
      </c>
    </row>
    <row r="5" ht="30.0" customHeight="1">
      <c r="A5" s="5" t="s">
        <v>419</v>
      </c>
      <c r="B5" s="5" t="s">
        <v>420</v>
      </c>
      <c r="C5" s="5" t="s">
        <v>38</v>
      </c>
      <c r="D5" s="5" t="s">
        <v>421</v>
      </c>
      <c r="E5" s="5" t="s">
        <v>422</v>
      </c>
    </row>
    <row r="6" ht="30.0" customHeight="1">
      <c r="A6" s="30" t="s">
        <v>423</v>
      </c>
      <c r="B6" s="9" t="s">
        <v>424</v>
      </c>
      <c r="C6" s="10" t="s">
        <v>54</v>
      </c>
      <c r="D6" s="10" t="s">
        <v>70</v>
      </c>
      <c r="E6" s="10"/>
    </row>
    <row r="7" ht="30.0" customHeight="1">
      <c r="A7" s="30" t="s">
        <v>426</v>
      </c>
      <c r="B7" s="9" t="s">
        <v>427</v>
      </c>
      <c r="C7" s="10" t="s">
        <v>54</v>
      </c>
      <c r="D7" s="10" t="s">
        <v>70</v>
      </c>
      <c r="E7" s="10"/>
    </row>
    <row r="8" ht="16.5" customHeight="1">
      <c r="A8" s="30" t="s">
        <v>430</v>
      </c>
      <c r="B8" s="9" t="s">
        <v>431</v>
      </c>
      <c r="C8" s="10" t="s">
        <v>54</v>
      </c>
      <c r="D8" s="10" t="s">
        <v>70</v>
      </c>
      <c r="E8" s="10"/>
    </row>
    <row r="9" ht="30.0" customHeight="1">
      <c r="A9" s="30" t="s">
        <v>432</v>
      </c>
      <c r="B9" s="9" t="s">
        <v>433</v>
      </c>
      <c r="C9" s="10" t="s">
        <v>54</v>
      </c>
      <c r="D9" s="10" t="s">
        <v>70</v>
      </c>
      <c r="E9" s="10"/>
    </row>
    <row r="10" ht="16.5" customHeight="1">
      <c r="A10" s="30" t="s">
        <v>436</v>
      </c>
      <c r="B10" s="9" t="s">
        <v>437</v>
      </c>
      <c r="C10" s="10" t="s">
        <v>156</v>
      </c>
      <c r="D10" s="10" t="s">
        <v>70</v>
      </c>
      <c r="E10" s="10"/>
    </row>
    <row r="11" ht="30.0" customHeight="1">
      <c r="A11" s="30" t="s">
        <v>438</v>
      </c>
      <c r="B11" s="9" t="s">
        <v>439</v>
      </c>
      <c r="C11" s="10" t="s">
        <v>156</v>
      </c>
      <c r="D11" s="10" t="s">
        <v>70</v>
      </c>
      <c r="E11" s="10"/>
    </row>
    <row r="12" ht="30.0" customHeight="1">
      <c r="A12" s="30" t="s">
        <v>440</v>
      </c>
      <c r="B12" s="9" t="s">
        <v>441</v>
      </c>
      <c r="C12" s="10" t="s">
        <v>54</v>
      </c>
      <c r="D12" s="10" t="s">
        <v>70</v>
      </c>
      <c r="E12" s="10"/>
    </row>
    <row r="13" ht="30.0" customHeight="1">
      <c r="A13" s="30" t="s">
        <v>442</v>
      </c>
      <c r="B13" s="9" t="s">
        <v>443</v>
      </c>
      <c r="C13" s="10" t="s">
        <v>156</v>
      </c>
      <c r="D13" s="10" t="s">
        <v>70</v>
      </c>
      <c r="E13" s="10"/>
    </row>
    <row r="14" ht="16.5" customHeight="1">
      <c r="A14" s="30" t="s">
        <v>444</v>
      </c>
      <c r="B14" s="9" t="s">
        <v>445</v>
      </c>
      <c r="C14" s="10" t="s">
        <v>156</v>
      </c>
      <c r="D14" s="10" t="s">
        <v>70</v>
      </c>
      <c r="E14" s="10"/>
    </row>
    <row r="15" ht="30.0" customHeight="1">
      <c r="A15" s="30" t="s">
        <v>446</v>
      </c>
      <c r="B15" s="9" t="s">
        <v>447</v>
      </c>
      <c r="C15" s="10" t="s">
        <v>54</v>
      </c>
      <c r="D15" s="10" t="s">
        <v>70</v>
      </c>
      <c r="E15" s="10"/>
    </row>
    <row r="16" ht="16.5" customHeight="1">
      <c r="A16" s="30" t="s">
        <v>448</v>
      </c>
      <c r="B16" s="9" t="s">
        <v>449</v>
      </c>
      <c r="C16" s="10" t="s">
        <v>156</v>
      </c>
      <c r="D16" s="10" t="s">
        <v>70</v>
      </c>
      <c r="E16" s="10"/>
    </row>
    <row r="17" ht="30.0" customHeight="1">
      <c r="A17" s="30" t="s">
        <v>450</v>
      </c>
      <c r="B17" s="9" t="s">
        <v>451</v>
      </c>
      <c r="C17" s="10" t="s">
        <v>231</v>
      </c>
      <c r="D17" s="10" t="s">
        <v>70</v>
      </c>
      <c r="E17" s="10"/>
    </row>
    <row r="18" ht="16.5" customHeight="1">
      <c r="A18" s="30" t="s">
        <v>452</v>
      </c>
      <c r="B18" s="9" t="s">
        <v>453</v>
      </c>
      <c r="C18" s="10" t="s">
        <v>156</v>
      </c>
      <c r="D18" s="10" t="s">
        <v>70</v>
      </c>
      <c r="E18" s="10"/>
    </row>
    <row r="19" ht="30.0" customHeight="1">
      <c r="A19" s="30" t="s">
        <v>454</v>
      </c>
      <c r="B19" s="9" t="s">
        <v>455</v>
      </c>
      <c r="C19" s="10" t="s">
        <v>231</v>
      </c>
      <c r="D19" s="10" t="s">
        <v>70</v>
      </c>
      <c r="E19" s="10"/>
    </row>
    <row r="20" ht="16.5" customHeight="1">
      <c r="A20" s="30" t="s">
        <v>456</v>
      </c>
      <c r="B20" s="9" t="s">
        <v>457</v>
      </c>
      <c r="C20" s="10" t="s">
        <v>231</v>
      </c>
      <c r="D20" s="10" t="s">
        <v>70</v>
      </c>
      <c r="E20" s="10"/>
    </row>
    <row r="21" ht="30.0" customHeight="1">
      <c r="A21" s="30" t="s">
        <v>459</v>
      </c>
      <c r="B21" s="9" t="s">
        <v>461</v>
      </c>
      <c r="C21" s="10" t="s">
        <v>54</v>
      </c>
      <c r="D21" s="10" t="s">
        <v>70</v>
      </c>
      <c r="E21" s="10"/>
    </row>
    <row r="22" ht="30.0" customHeight="1">
      <c r="A22" s="30" t="s">
        <v>462</v>
      </c>
      <c r="B22" s="9" t="s">
        <v>463</v>
      </c>
      <c r="C22" s="10" t="s">
        <v>156</v>
      </c>
      <c r="D22" s="10" t="s">
        <v>70</v>
      </c>
      <c r="E22" s="10"/>
    </row>
    <row r="23" ht="16.5" customHeight="1">
      <c r="A23" s="30" t="s">
        <v>464</v>
      </c>
      <c r="B23" s="9" t="s">
        <v>465</v>
      </c>
      <c r="C23" s="10" t="s">
        <v>156</v>
      </c>
      <c r="D23" s="10" t="s">
        <v>70</v>
      </c>
      <c r="E23" s="10"/>
    </row>
    <row r="24" ht="30.0" customHeight="1">
      <c r="A24" s="30" t="s">
        <v>466</v>
      </c>
      <c r="B24" s="9" t="s">
        <v>467</v>
      </c>
      <c r="C24" s="10" t="s">
        <v>231</v>
      </c>
      <c r="D24" s="10" t="s">
        <v>70</v>
      </c>
      <c r="E24" s="10"/>
    </row>
    <row r="25" ht="30.0" customHeight="1">
      <c r="A25" s="30" t="s">
        <v>468</v>
      </c>
      <c r="B25" s="9" t="s">
        <v>469</v>
      </c>
      <c r="C25" s="10" t="s">
        <v>54</v>
      </c>
      <c r="D25" s="10" t="s">
        <v>70</v>
      </c>
      <c r="E25" s="10"/>
    </row>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autoFilter ref="$A$5:$E$25"/>
  <mergeCells count="2">
    <mergeCell ref="A2:E2"/>
    <mergeCell ref="A3:E3"/>
  </mergeCells>
  <conditionalFormatting sqref="D6:D25">
    <cfRule type="cellIs" dxfId="0" priority="1" operator="equal">
      <formula>"Hecho"</formula>
    </cfRule>
  </conditionalFormatting>
  <conditionalFormatting sqref="D6:D25">
    <cfRule type="cellIs" dxfId="1" priority="2" operator="equal">
      <formula>"En marcha"</formula>
    </cfRule>
  </conditionalFormatting>
  <conditionalFormatting sqref="D6:D25">
    <cfRule type="cellIs" dxfId="2" priority="3" operator="equal">
      <formula>"No aplica"</formula>
    </cfRule>
  </conditionalFormatting>
  <conditionalFormatting sqref="D6:D25">
    <cfRule type="cellIs" dxfId="3" priority="4" operator="equal">
      <formula>"Mal"</formula>
    </cfRule>
  </conditionalFormatting>
  <conditionalFormatting sqref="D6:D25">
    <cfRule type="cellIs" dxfId="0" priority="5" operator="equal">
      <formula>"Bien"</formula>
    </cfRule>
  </conditionalFormatting>
  <conditionalFormatting sqref="D6:D25">
    <cfRule type="cellIs" dxfId="3" priority="6" operator="equal">
      <formula>"Sí"</formula>
    </cfRule>
  </conditionalFormatting>
  <dataValidations>
    <dataValidation type="list" allowBlank="1" sqref="D6:D25">
      <formula1>"Sin comprobar,Sí,No"</formula1>
    </dataValidation>
  </dataValidations>
  <printOptions/>
  <pageMargins bottom="0.5" footer="0.0" header="0.0" left="0.4" right="0.4" top="0.5"/>
  <pageSetup fitToHeight="0" orientation="landscape"/>
  <drawing r:id="rId1"/>
</worksheet>
</file>

<file path=xl/worksheets/sheet8.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fitToPage="1"/>
  </sheetPr>
  <sheetViews>
    <sheetView showGridLines="0" workbookViewId="0">
      <pane ySplit="4.0" topLeftCell="A5" activePane="bottomLeft" state="frozen"/>
      <selection activeCell="B6" sqref="B6" pane="bottomLeft"/>
    </sheetView>
  </sheetViews>
  <sheetFormatPr customHeight="1" defaultColWidth="14.43" defaultRowHeight="15.0"/>
  <cols>
    <col customWidth="1" min="1" max="1" width="46.0"/>
    <col customWidth="1" min="2" max="2" width="78.0"/>
    <col customWidth="1" min="3" max="3" width="15.0"/>
    <col customWidth="1" min="4" max="4" width="30.0"/>
    <col customWidth="1" min="5" max="26" width="8.71"/>
  </cols>
  <sheetData>
    <row r="1">
      <c r="A1" s="1" t="s">
        <v>499</v>
      </c>
    </row>
    <row r="2">
      <c r="A2" s="3" t="s">
        <v>502</v>
      </c>
    </row>
    <row r="4" ht="30.0" customHeight="1">
      <c r="A4" s="5" t="s">
        <v>503</v>
      </c>
      <c r="B4" s="5" t="s">
        <v>10</v>
      </c>
      <c r="C4" s="5" t="s">
        <v>20</v>
      </c>
      <c r="D4" s="5" t="s">
        <v>22</v>
      </c>
    </row>
    <row r="5" ht="30.0" customHeight="1">
      <c r="A5" s="9" t="s">
        <v>504</v>
      </c>
      <c r="B5" s="9" t="s">
        <v>505</v>
      </c>
      <c r="C5" s="10" t="s">
        <v>32</v>
      </c>
      <c r="D5" s="10"/>
    </row>
    <row r="6" ht="30.0" customHeight="1">
      <c r="A6" s="9" t="s">
        <v>506</v>
      </c>
      <c r="B6" s="9" t="s">
        <v>507</v>
      </c>
      <c r="C6" s="10" t="s">
        <v>32</v>
      </c>
      <c r="D6" s="10"/>
    </row>
    <row r="7" ht="30.0" customHeight="1">
      <c r="A7" s="9" t="s">
        <v>510</v>
      </c>
      <c r="B7" s="9" t="s">
        <v>511</v>
      </c>
      <c r="C7" s="10" t="s">
        <v>32</v>
      </c>
      <c r="D7" s="10"/>
    </row>
    <row r="8" ht="30.0" customHeight="1">
      <c r="A8" s="9" t="s">
        <v>512</v>
      </c>
      <c r="B8" s="9" t="s">
        <v>513</v>
      </c>
      <c r="C8" s="10" t="s">
        <v>32</v>
      </c>
      <c r="D8" s="22" t="str">
        <f>HYPERLINK("https://mantenimiento.ayudawp.com","https://mantenimiento.ayudawp.com")</f>
        <v>https://mantenimiento.ayudawp.com</v>
      </c>
    </row>
    <row r="9" ht="30.0" customHeight="1">
      <c r="A9" s="9" t="s">
        <v>514</v>
      </c>
      <c r="B9" s="9" t="s">
        <v>515</v>
      </c>
      <c r="C9" s="10" t="s">
        <v>32</v>
      </c>
      <c r="D9" s="10"/>
    </row>
    <row r="10" ht="30.0" customHeight="1">
      <c r="A10" s="9" t="s">
        <v>516</v>
      </c>
      <c r="B10" s="9" t="s">
        <v>517</v>
      </c>
      <c r="C10" s="10" t="s">
        <v>32</v>
      </c>
      <c r="D10" s="10"/>
    </row>
    <row r="11" ht="30.0" customHeight="1">
      <c r="A11" s="9" t="s">
        <v>518</v>
      </c>
      <c r="B11" s="9" t="s">
        <v>519</v>
      </c>
      <c r="C11" s="10" t="s">
        <v>32</v>
      </c>
      <c r="D11" s="10"/>
    </row>
    <row r="12" ht="30.0" customHeight="1">
      <c r="A12" s="9" t="s">
        <v>520</v>
      </c>
      <c r="B12" s="9" t="s">
        <v>521</v>
      </c>
      <c r="C12" s="10" t="s">
        <v>32</v>
      </c>
      <c r="D12" s="10"/>
    </row>
    <row r="13" ht="30.0" customHeight="1">
      <c r="A13" s="9" t="s">
        <v>522</v>
      </c>
      <c r="B13" s="9" t="s">
        <v>523</v>
      </c>
      <c r="C13" s="10" t="s">
        <v>32</v>
      </c>
      <c r="D13" s="10"/>
    </row>
    <row r="14" ht="30.0" customHeight="1">
      <c r="A14" s="9" t="s">
        <v>524</v>
      </c>
      <c r="B14" s="9" t="s">
        <v>525</v>
      </c>
      <c r="C14" s="10" t="s">
        <v>32</v>
      </c>
      <c r="D14" s="22" t="str">
        <f>HYPERLINK("https://vigilante.works/","https://vigilante.works/")</f>
        <v>https://vigilante.works/</v>
      </c>
    </row>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1">
    <mergeCell ref="A2:D2"/>
  </mergeCells>
  <conditionalFormatting sqref="C5:C14">
    <cfRule type="cellIs" dxfId="0" priority="1" operator="equal">
      <formula>"Hecho"</formula>
    </cfRule>
  </conditionalFormatting>
  <conditionalFormatting sqref="C5:C14">
    <cfRule type="cellIs" dxfId="1" priority="2" operator="equal">
      <formula>"En marcha"</formula>
    </cfRule>
  </conditionalFormatting>
  <conditionalFormatting sqref="C5:C14">
    <cfRule type="cellIs" dxfId="2" priority="3" operator="equal">
      <formula>"No aplica"</formula>
    </cfRule>
  </conditionalFormatting>
  <conditionalFormatting sqref="C5:C14">
    <cfRule type="cellIs" dxfId="3" priority="4" operator="equal">
      <formula>"Mal"</formula>
    </cfRule>
  </conditionalFormatting>
  <conditionalFormatting sqref="C5:C14">
    <cfRule type="cellIs" dxfId="0" priority="5" operator="equal">
      <formula>"Bien"</formula>
    </cfRule>
  </conditionalFormatting>
  <conditionalFormatting sqref="C5:C14">
    <cfRule type="cellIs" dxfId="3" priority="6" operator="equal">
      <formula>"Sí"</formula>
    </cfRule>
  </conditionalFormatting>
  <dataValidations>
    <dataValidation type="list" allowBlank="1" sqref="C5:C14">
      <formula1>"Pendiente,En marcha,Hecho,No aplica"</formula1>
    </dataValidation>
  </dataValidations>
  <printOptions/>
  <pageMargins bottom="0.5" footer="0.0" header="0.0" left="0.4" right="0.4" top="0.5"/>
  <pageSetup fitToHeight="0" orientation="portrait"/>
  <drawing r:id="rId1"/>
</worksheet>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2026-09-10T21:50:53Z</dcterms:created>
  <dc:creator>AyudaWP</dc:creator>
</cp:coreProperties>
</file>

<file path=docProps/custom.xml><?xml version="1.0" encoding="utf-8"?>
<Properties xmlns="http://schemas.openxmlformats.org/officeDocument/2006/custom-properties" xmlns:vt="http://schemas.openxmlformats.org/officeDocument/2006/docPropsVTypes"/>
</file>